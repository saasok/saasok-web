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8300" windowHeight="16660" tabRatio="500" firstSheet="0" activeTab="0" autoFilterDateGrouping="1"/>
  </bookViews>
  <sheets>
    <sheet xmlns:r="http://schemas.openxmlformats.org/officeDocument/2006/relationships" name="Broker Fees" sheetId="1" state="visible" r:id="rId1"/>
    <sheet xmlns:r="http://schemas.openxmlformats.org/officeDocument/2006/relationships" name="Fee Reduction Tactics" sheetId="2" state="visible" r:id="rId2"/>
    <sheet xmlns:r="http://schemas.openxmlformats.org/officeDocument/2006/relationships" name="Tax Reduction Levers" sheetId="3" state="visible" r:id="rId3"/>
    <sheet xmlns:r="http://schemas.openxmlformats.org/officeDocument/2006/relationships" name="Tax Residency Eligibility" sheetId="4" state="visible" r:id="rId4"/>
    <sheet xmlns:r="http://schemas.openxmlformats.org/officeDocument/2006/relationships" name="Capital Gains Tax" sheetId="5" state="visible" r:id="rId5"/>
    <sheet xmlns:r="http://schemas.openxmlformats.org/officeDocument/2006/relationships" name="Broker Combinations"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7">
    <font>
      <name val="Calibri"/>
      <charset val="1"/>
      <family val="2"/>
      <color theme="1"/>
      <sz val="11"/>
    </font>
    <font>
      <name val="Arial"/>
      <family val="2"/>
      <b val="1"/>
      <color rgb="FFC00000"/>
      <sz val="12"/>
    </font>
    <font>
      <name val="Arial"/>
      <family val="2"/>
      <b val="1"/>
      <color rgb="FFFFFFFF"/>
      <sz val="11"/>
    </font>
    <font>
      <name val="Arial"/>
      <family val="2"/>
      <color rgb="FF000000"/>
      <sz val="11"/>
    </font>
    <font>
      <name val="Arial"/>
      <family val="2"/>
      <color rgb="FF0000FF"/>
      <sz val="11"/>
    </font>
    <font>
      <name val="Arial"/>
      <family val="2"/>
      <i val="1"/>
      <color rgb="FF595959"/>
      <sz val="9"/>
    </font>
    <font>
      <name val="Arial"/>
      <family val="2"/>
      <b val="1"/>
      <i val="1"/>
      <sz val="9"/>
    </font>
  </fonts>
  <fills count="6">
    <fill>
      <patternFill/>
    </fill>
    <fill>
      <patternFill patternType="gray125"/>
    </fill>
    <fill>
      <patternFill patternType="solid">
        <fgColor rgb="FF1F4E78"/>
        <bgColor rgb="FF003366"/>
      </patternFill>
    </fill>
    <fill>
      <patternFill patternType="solid">
        <fgColor rgb="FFC6EFCE"/>
        <bgColor rgb="FFD9D9D9"/>
      </patternFill>
    </fill>
    <fill>
      <patternFill patternType="solid">
        <fgColor rgb="FFFFC7CE"/>
        <bgColor rgb="FFD9D9D9"/>
      </patternFill>
    </fill>
    <fill>
      <patternFill patternType="solid">
        <fgColor rgb="FFFFEB9C"/>
        <bgColor rgb="FFFFFF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pivotButton="0" quotePrefix="0" xfId="0"/>
    <xf numFmtId="0" fontId="5" fillId="0" borderId="0" applyAlignment="1" pivotButton="0" quotePrefix="0" xfId="0">
      <alignment vertical="top" wrapText="1"/>
    </xf>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10" fontId="4" fillId="0" borderId="1" applyAlignment="1" pivotButton="0" quotePrefix="0" xfId="0">
      <alignment vertical="top" wrapText="1"/>
    </xf>
    <xf numFmtId="0" fontId="5" fillId="0" borderId="1" applyAlignment="1" pivotButton="0" quotePrefix="0" xfId="0">
      <alignment vertical="top" wrapText="1"/>
    </xf>
    <xf numFmtId="3" fontId="4" fillId="0" borderId="1" applyAlignment="1" pivotButton="0" quotePrefix="0" xfId="0">
      <alignment vertical="top" wrapText="1"/>
    </xf>
    <xf numFmtId="0" fontId="2" fillId="2" borderId="1" applyAlignment="1" pivotButton="0" quotePrefix="0" xfId="0">
      <alignment horizontal="center" vertical="center"/>
    </xf>
    <xf numFmtId="0" fontId="3" fillId="0" borderId="1" pivotButton="0" quotePrefix="0" xfId="0"/>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6" fillId="0" borderId="0" pivotButton="0" quotePrefix="0" xfId="0"/>
    <xf numFmtId="164" fontId="4" fillId="0" borderId="1" applyAlignment="1" pivotButton="0" quotePrefix="0" xfId="0">
      <alignment vertical="top" wrapText="1"/>
    </xf>
    <xf numFmtId="0" fontId="4" fillId="0" borderId="1" pivotButton="0" quotePrefix="0" xfId="0"/>
    <xf numFmtId="3" fontId="3" fillId="0" borderId="1" pivotButton="0" quotePrefix="0" xfId="0"/>
    <xf numFmtId="0" fontId="5" fillId="0" borderId="1" pivotButton="0" quotePrefix="0" xfId="0"/>
    <xf numFmtId="164" fontId="3" fillId="0" borderId="1" pivotButton="0" quotePrefix="0" xfId="0"/>
    <xf numFmtId="0" fontId="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tabSelected="1" topLeftCell="B1" zoomScale="115" zoomScaleNormal="100" workbookViewId="0">
      <pane ySplit="3" topLeftCell="A4" activePane="bottomLeft" state="frozen"/>
      <selection pane="bottomLeft" activeCell="A1" sqref="A1:G1"/>
    </sheetView>
  </sheetViews>
  <sheetFormatPr baseColWidth="10" defaultColWidth="8.6640625" defaultRowHeight="15"/>
  <cols>
    <col width="12" customWidth="1" min="1" max="1"/>
    <col width="34" customWidth="1" min="2" max="2"/>
    <col width="16" customWidth="1" min="3" max="3"/>
    <col width="46" customWidth="1" min="4" max="4"/>
    <col width="14" customWidth="1" min="5" max="5"/>
    <col width="34" customWidth="1" min="6" max="6"/>
    <col width="20" customWidth="1" min="7" max="7"/>
    <col width="44" customWidth="1" min="8" max="8"/>
    <col width="34" customWidth="1" min="9" max="9"/>
  </cols>
  <sheetData>
    <row r="1" ht="25.5" customHeight="1">
      <c r="A1" s="2" t="inlineStr">
        <is>
          <t>Broker fee reference — verify current schedules before acting; brokers change pricing without much notice</t>
        </is>
      </c>
    </row>
    <row r="3" ht="39" customHeight="1">
      <c r="A3" s="3" t="inlineStr">
        <is>
          <t>Broker</t>
        </is>
      </c>
      <c r="B3" s="3" t="inlineStr">
        <is>
          <t>Stock/ETF Commission</t>
        </is>
      </c>
      <c r="C3" s="3" t="inlineStr">
        <is>
          <t>Custody Fee (annual)</t>
        </is>
      </c>
      <c r="D3" s="3" t="inlineStr">
        <is>
          <t>Custody Fee Notes</t>
        </is>
      </c>
      <c r="E3" s="3" t="inlineStr">
        <is>
          <t>FX Conversion Fee</t>
        </is>
      </c>
      <c r="F3" s="3" t="inlineStr">
        <is>
          <t>Inactivity Fee</t>
        </is>
      </c>
      <c r="G3" s="3" t="inlineStr">
        <is>
          <t>Min Deposit (approx, USD equiv)</t>
        </is>
      </c>
      <c r="H3" s="3" t="inlineStr">
        <is>
          <t>Source / Last Checked</t>
        </is>
      </c>
      <c r="I3" s="3" t="inlineStr">
        <is>
          <t>UK ISA Offered?</t>
        </is>
      </c>
    </row>
    <row r="4" ht="60" customHeight="1">
      <c r="A4" s="4" t="inlineStr">
        <is>
          <t>IBKR</t>
        </is>
      </c>
      <c r="B4" s="4" t="inlineStr">
        <is>
          <t>US stocks: $0.0035/share, min $0.35 (Pro, Tiered). IBKR Lite (US residents/Singapore only): $0 on US-listed stocks/ETFs.</t>
        </is>
      </c>
      <c r="C4" s="5" t="n">
        <v>0</v>
      </c>
      <c r="D4" s="6" t="inlineStr">
        <is>
          <t>No custody fee (any account size).</t>
        </is>
      </c>
      <c r="E4" s="5" t="n">
        <v>0.03</v>
      </c>
      <c r="F4" s="4" t="inlineStr">
        <is>
          <t>None (eliminated 2021). UK Stocks &amp; Shares ISA: GBP 3/month.</t>
        </is>
      </c>
      <c r="G4" s="7" t="n">
        <v>0</v>
      </c>
      <c r="H4" s="6" t="inlineStr">
        <is>
          <t>interactivebrokers.com pricing &amp; fact sheet, checked Jun 2026</t>
        </is>
      </c>
      <c r="I4" s="4" t="inlineStr">
        <is>
          <t>Yes (GBP 3/month fee)</t>
        </is>
      </c>
    </row>
    <row r="5" ht="60" customHeight="1">
      <c r="A5" s="4" t="inlineStr">
        <is>
          <t>Saxo</t>
        </is>
      </c>
      <c r="B5" s="4" t="inlineStr">
        <is>
          <t>Classic: 0.08% of trade value, min ~$1 (US) / €2 (EU stocks).</t>
        </is>
      </c>
      <c r="C5" s="5" t="n">
        <v>0.15</v>
      </c>
      <c r="D5" s="6" t="inlineStr">
        <is>
          <t>0.15%/yr + 25% Danish VAT (non-EU clients); removed on core EU retail accounts since Feb 2025 restructuring — verify for your entity.</t>
        </is>
      </c>
      <c r="E5" s="5" t="n">
        <v>0.25</v>
      </c>
      <c r="F5" s="4" t="inlineStr">
        <is>
          <t>None.</t>
        </is>
      </c>
      <c r="G5" s="7" t="n">
        <v>0</v>
      </c>
      <c r="H5" s="6" t="inlineStr">
        <is>
          <t>home.saxo rates &amp; conditions; brokerchooser, thepoorswiss, checked Jun 2026</t>
        </is>
      </c>
      <c r="I5" s="4" t="inlineStr">
        <is>
          <t>Yes (0.12% custody + 0.08% commission)</t>
        </is>
      </c>
    </row>
    <row r="6" ht="60" customHeight="1">
      <c r="A6" s="4" t="inlineStr">
        <is>
          <t>Wio</t>
        </is>
      </c>
      <c r="B6" s="4" t="inlineStr">
        <is>
          <t>0% commission marketed on US &amp; UAE stocks (revenue via FX spread, not published as a clean bps figure).</t>
        </is>
      </c>
      <c r="C6" s="5" t="n">
        <v>0</v>
      </c>
      <c r="D6" s="6" t="inlineStr">
        <is>
          <t>No stated custody fee.</t>
        </is>
      </c>
      <c r="E6" s="6" t="inlineStr">
        <is>
          <t>Not disclosed</t>
        </is>
      </c>
      <c r="F6" s="4" t="inlineStr">
        <is>
          <t>Not publicly disclosed.</t>
        </is>
      </c>
      <c r="G6" s="7" t="n">
        <v>0</v>
      </c>
      <c r="H6" s="6" t="inlineStr">
        <is>
          <t>wioinvest.io, vaultwealth.com comparison, checked 2026</t>
        </is>
      </c>
      <c r="I6" s="4" t="inlineStr">
        <is>
          <t>No (UAE-only, not applicable)</t>
        </is>
      </c>
    </row>
    <row r="7" ht="60" customHeight="1">
      <c r="A7" s="4" t="inlineStr">
        <is>
          <t>Exante</t>
        </is>
      </c>
      <c r="B7" s="4" t="inlineStr">
        <is>
          <t>US stocks: $0.02/share, min $1 for first 1-50 shares/order.</t>
        </is>
      </c>
      <c r="C7" s="5" t="n">
        <v>0</v>
      </c>
      <c r="D7" s="6" t="inlineStr">
        <is>
          <t>No custody fee for stocks/ETFs per most 2026 reviews (one support article mentions a 0.3%/yr custody fee context possibly tied to bonds — confirm on your account's fee schedule).</t>
        </is>
      </c>
      <c r="E7" s="5" t="n">
        <v>0</v>
      </c>
      <c r="F7" s="4" t="inlineStr">
        <is>
          <t>EUR 50/6 months if no trades AND balance &lt; EUR 5,000.</t>
        </is>
      </c>
      <c r="G7" s="7" t="n">
        <v>10000</v>
      </c>
      <c r="H7" s="6" t="inlineStr">
        <is>
          <t>support.exante.eu fee pages; tradersunion, sharecast, checked 2026. Does not accept US, Japan, Iran, North Korea residents.</t>
        </is>
      </c>
      <c r="I7" s="4" t="inlineStr">
        <is>
          <t>Not offered, based on available info</t>
        </is>
      </c>
    </row>
    <row r="8" ht="60" customHeight="1">
      <c r="A8" s="4" t="inlineStr">
        <is>
          <t>Swissquote</t>
        </is>
      </c>
      <c r="B8" s="4" t="inlineStr">
        <is>
          <t>CHF 3 (trades up to CHF 500) to CHF 25-29 (larger tickets), tiered by order size.</t>
        </is>
      </c>
      <c r="C8" s="5" t="n">
        <v>0</v>
      </c>
      <c r="D8" s="6" t="inlineStr">
        <is>
          <t>Tiered flat quarterly fee, not a clean % — CHF 20/quarter (up to CHF 50k) rising to a CHF 50/quarter cap (CHF 150k-1m); above CHF 1m add 0.0075%/quarter.</t>
        </is>
      </c>
      <c r="E8" s="5" t="n">
        <v>0.95</v>
      </c>
      <c r="F8" s="4" t="inlineStr">
        <is>
          <t>Applies to forex/CFD accounts only per some sources, not plain stock accounts — confirm for your account type.</t>
        </is>
      </c>
      <c r="G8" s="7" t="n">
        <v>1000</v>
      </c>
      <c r="H8" s="6" t="inlineStr">
        <is>
          <t>swissquote.com account fees, brokerchooser, thepoorswiss, checked Jun 2026</t>
        </is>
      </c>
      <c r="I8" s="4" t="inlineStr">
        <is>
          <t>Not offered, based on available info</t>
        </is>
      </c>
    </row>
    <row r="9" ht="60" customHeight="1">
      <c r="A9" s="4" t="inlineStr">
        <is>
          <t>XTB</t>
        </is>
      </c>
      <c r="B9" s="4" t="inlineStr">
        <is>
          <t>0% on real stocks/ETFs up to EUR 100,000 turnover/month; 0.2% (min EUR 10) above that.</t>
        </is>
      </c>
      <c r="C9" s="5" t="n">
        <v>0</v>
      </c>
      <c r="D9" s="6" t="inlineStr">
        <is>
          <t>No custody fee.</t>
        </is>
      </c>
      <c r="E9" s="5" t="n">
        <v>0.5</v>
      </c>
      <c r="F9" s="4" t="inlineStr">
        <is>
          <t>EUR 10/month after 365 days with no trade AND 90 days with no deposit.</t>
        </is>
      </c>
      <c r="G9" s="7" t="n">
        <v>0</v>
      </c>
      <c r="H9" s="6" t="inlineStr">
        <is>
          <t>xtb.com fees &amp; commissions table, brokerchooser, quantroutine, checked 2026</t>
        </is>
      </c>
      <c r="I9" s="4" t="inlineStr">
        <is>
          <t>Yes (free — no extra fee)</t>
        </is>
      </c>
    </row>
  </sheetData>
  <mergeCells count="1">
    <mergeCell ref="A1:G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9"/>
  <sheetViews>
    <sheetView zoomScaleNormal="100" workbookViewId="0">
      <pane ySplit="3" topLeftCell="A4" activePane="bottomLeft" state="frozen"/>
      <selection pane="bottomLeft" activeCell="A1" sqref="A1:C1"/>
    </sheetView>
  </sheetViews>
  <sheetFormatPr baseColWidth="10" defaultColWidth="8.6640625" defaultRowHeight="15"/>
  <cols>
    <col width="12" customWidth="1" min="1" max="1"/>
    <col width="75" customWidth="1" min="2" max="2"/>
    <col width="55" customWidth="1" min="3" max="3"/>
  </cols>
  <sheetData>
    <row r="1" ht="30" customHeight="1">
      <c r="A1" s="2" t="inlineStr">
        <is>
          <t>How to actually lower each broker's fees — real, broker-specific levers you control</t>
        </is>
      </c>
    </row>
    <row r="3">
      <c r="A3" s="3" t="inlineStr">
        <is>
          <t>Broker</t>
        </is>
      </c>
      <c r="B3" s="3" t="inlineStr">
        <is>
          <t>What reduces YOUR fees</t>
        </is>
      </c>
      <c r="C3" s="3" t="inlineStr">
        <is>
          <t>Watch out for</t>
        </is>
      </c>
    </row>
    <row r="4" ht="99.75" customHeight="1">
      <c r="A4" s="4" t="inlineStr">
        <is>
          <t>IBKR</t>
        </is>
      </c>
      <c r="B4" s="4" t="inlineStr">
        <is>
          <t>Use IBKR Lite (US residents/Singapore only) for $0 commission on US-listed stocks/ETFs instead of Pro. Keep cash &gt;$100,000 NAV to get the top interest tier on idle cash. Trade in the instrument's native currency to minimize the ~0.03% FX conversion. Use a General Investment Account rather than the UK Stocks &amp; Shares ISA if you don't need the wrapper — the ISA carries a GBP 3/month fee the standard account doesn't.</t>
        </is>
      </c>
      <c r="C4" s="6" t="inlineStr">
        <is>
          <t>IBKR Lite gives worse order routing and a higher margin markup (2.5% vs 0.5-1.5% on Pro) — a false economy if you ever use margin.</t>
        </is>
      </c>
    </row>
    <row r="5" ht="99.75" customHeight="1">
      <c r="A5" s="4" t="inlineStr">
        <is>
          <t>Saxo</t>
        </is>
      </c>
      <c r="B5" s="4" t="inlineStr">
        <is>
          <t>Enable the stock-lending program to waive the 0.15%/yr custody fee entirely (Saxo splits the lending revenue with you 50/50). Where Saxo has removed custody fees on 'core EU' retail accounts, you already pay 0. Keep trade sizes above ~$2,500/€2,500 so the 0.08% commission clears the flat minimum rather than being dominated by it. Use the UK Stocks &amp; Shares ISA (0.12% custody, 0.08% commission) to shelter gains from UK CGT.</t>
        </is>
      </c>
      <c r="C5" s="6" t="inlineStr">
        <is>
          <t>Stock lending exposes your shares to counterparty/recall risk in exchange for the fee waiver — read the terms before opting in.</t>
        </is>
      </c>
    </row>
    <row r="6" ht="99.75" customHeight="1">
      <c r="A6" s="4" t="inlineStr">
        <is>
          <t>Wio</t>
        </is>
      </c>
      <c r="B6" s="4" t="inlineStr">
        <is>
          <t>Fund and trade in AED or USD to avoid unnecessary conversions, since Wio's cost is an undisclosed FX spread rather than a stated commission.</t>
        </is>
      </c>
      <c r="C6" s="6" t="inlineStr">
        <is>
          <t>Because the spread isn't published as a clean bps figure, you can't easily verify you're getting a fair rate — compare a live quote against IBKR/XTB before a large trade.</t>
        </is>
      </c>
    </row>
    <row r="7" ht="99.75" customHeight="1">
      <c r="A7" s="4" t="inlineStr">
        <is>
          <t>Exante</t>
        </is>
      </c>
      <c r="B7" s="4" t="inlineStr">
        <is>
          <t>Keep your balance above EUR 5,000 and place at least one trade every 6 months to avoid the EUR 50 inactivity fee. Fund via bank wire (the only method) rather than triggering avoidable processing fees; use the debit card for spending instead of frequent withdrawals (EUR 30 flat fee each).</t>
        </is>
      </c>
      <c r="C7" s="6" t="inlineStr">
        <is>
          <t>The EUR 10,000 minimum deposit is a real barrier — this isn't cost-effective for small portfolios regardless of tactics.</t>
        </is>
      </c>
    </row>
    <row r="8" ht="99.75" customHeight="1">
      <c r="A8" s="4" t="inlineStr">
        <is>
          <t>Swissquote</t>
        </is>
      </c>
      <c r="B8" s="4" t="inlineStr">
        <is>
          <t>Stick to the 'ETF Leaders' list on the SIX exchange — capped at CHF 9/trade regardless of size, versus the standard tiered commission. Let your custody account value grow past CHF 150,000 to hit the CHF 50/quarter (CHF 200/year) cap rather than paying the % rate on a small portfolio. Hold CHF/EUR/USD clearing accounts and fund/trade in matching currencies to avoid the 0.95% FX conversion where possible.</t>
        </is>
      </c>
      <c r="C8" s="6" t="inlineStr">
        <is>
          <t>Below CHF 150,000 the flat quarterly custody fee (CHF 20-37.50) is a bigger drag in percentage terms on a small portfolio — run the numbers against a zero-custody-fee alternative first.</t>
        </is>
      </c>
    </row>
    <row r="9" ht="99.75" customHeight="1">
      <c r="A9" s="4" t="inlineStr">
        <is>
          <t>XTB</t>
        </is>
      </c>
      <c r="B9" s="4" t="inlineStr">
        <is>
          <t>Stay under EUR 100,000 traded (buys+sells) per calendar month to keep 0% commission on real stocks/ETFs. Hold a base-currency account matching your main instruments to avoid the 0.5% FX markup. Keep at least one trade every 365 days and one deposit every 90 days to dodge the EUR 10/month inactivity fee. Use the UK Flexible Stocks &amp; Shares ISA (0% commission under the same monthly cap, no custody fee) to shelter UK gains.</t>
        </is>
      </c>
      <c r="C9" s="6" t="inlineStr">
        <is>
          <t>The EUR 100,000/month cap is on total turnover (buys + sells combined), not net investment — frequent rebalancing can push you over it faster than expected.</t>
        </is>
      </c>
    </row>
  </sheetData>
  <mergeCells count="1">
    <mergeCell ref="A1:C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9"/>
  <sheetViews>
    <sheetView zoomScaleNormal="100" workbookViewId="0">
      <pane ySplit="3" topLeftCell="A4" activePane="bottomLeft" state="frozen"/>
      <selection pane="bottomLeft" activeCell="A1" sqref="A1:C1"/>
    </sheetView>
  </sheetViews>
  <sheetFormatPr baseColWidth="10" defaultColWidth="8.6640625" defaultRowHeight="15"/>
  <cols>
    <col width="12" customWidth="1" min="1" max="1"/>
    <col width="80" customWidth="1" min="2" max="2"/>
    <col width="55" customWidth="1" min="3" max="3"/>
  </cols>
  <sheetData>
    <row r="1" ht="30" customHeight="1">
      <c r="A1" s="2" t="inlineStr">
        <is>
          <t>What actually lowers your tax bill by tax residency — none of this is 'pick a cheaper broker'; it's wrappers, product choice, and how you invest</t>
        </is>
      </c>
    </row>
    <row r="3">
      <c r="A3" s="3" t="inlineStr">
        <is>
          <t>Tax Residency</t>
        </is>
      </c>
      <c r="B3" s="3" t="inlineStr">
        <is>
          <t>Real, legitimate levers</t>
        </is>
      </c>
      <c r="C3" s="3" t="inlineStr">
        <is>
          <t>What does NOT work</t>
        </is>
      </c>
    </row>
    <row r="4" ht="129.75" customHeight="1">
      <c r="A4" s="4" t="inlineStr">
        <is>
          <t>US</t>
        </is>
      </c>
      <c r="B4" s="4" t="inlineStr">
        <is>
          <t>Hold positions &gt;1 year to qualify for 0/15/20% long-term rates instead of ordinary income rates up to 37%. Use tax-loss harvesting (IBKR's PortfolioAnalyst Tax Planner can model this) to offset gains with losses, and up to $3,000/year of excess losses against ordinary income. Manage the timing of realizations to stay under NIIT thresholds ($200k single/$250k joint MAGI) where possible. Use tax-advantaged wrappers (401(k), IRA, Roth IRA) for the portion of investing that fits inside them — none of these six brokers offer US retirement wrappers directly, so this typically means a separate custodian.</t>
        </is>
      </c>
      <c r="C4" s="6" t="inlineStr">
        <is>
          <t>Switching between IBKR/Saxo/etc. does not change your federal LTCG bracket or NIIT exposure — those depend on your income and holding period, not your broker.</t>
        </is>
      </c>
    </row>
    <row r="5" ht="129.75" customHeight="1">
      <c r="A5" s="4" t="inlineStr">
        <is>
          <t>UK</t>
        </is>
      </c>
      <c r="B5" s="4" t="inlineStr">
        <is>
          <t>Use a Stocks &amp; Shares ISA — IBKR, Saxo, and XTB all offer one among these six brokers — to shelter up to £20,000/year of contributions from CGT and dividend tax entirely, indefinitely. Use your £3,000 Annual Exempt Amount every year (it doesn't carry forward). Where you're near the basic/higher-rate boundary, timing a disposal to a lower-income year can keep more of the gain at 18% instead of 24%.</t>
        </is>
      </c>
      <c r="C5" s="6" t="inlineStr">
        <is>
          <t>Wio, Exante, and Swissquote do not appear to offer a UK ISA — gains there sit in a fully taxable general account regardless of that broker's fee schedule.</t>
        </is>
      </c>
    </row>
    <row r="6" ht="129.75" customHeight="1">
      <c r="A6" s="4" t="inlineStr">
        <is>
          <t>EU</t>
        </is>
      </c>
      <c r="B6" s="4" t="inlineStr">
        <is>
          <t>This depends entirely on which EU country you're resident in — the single biggest 'lever' is your actual country of tax residence, not your broker. Some countries (e.g. Germany) offer a small annual tax-free allowance (Sparerpauschbetrag, €1,000/person) that a domestic bank applies automatically via a Freistellungsauftrag; a foreign broker like these six usually won't apply it for you, so you self-report and reclaim it via your tax return instead. Choosing UCITS ETFs suited to your specific country's fund-taxation regime (e.g. Germany's Teilfreistellung partial exemption for equity funds) can reduce the effective rate on that category of holding.</t>
        </is>
      </c>
      <c r="C6" s="6" t="inlineStr">
        <is>
          <t>None of these six brokers apply your home country's tax-free allowances automatically the way a domestic bank might — you're responsible for declaring and claiming them yourself.</t>
        </is>
      </c>
    </row>
    <row r="7" ht="129.75" customHeight="1">
      <c r="A7" s="4" t="inlineStr">
        <is>
          <t>UAE</t>
        </is>
      </c>
      <c r="B7" s="4" t="inlineStr">
        <is>
          <t>None needed — already 0% for individuals. The only 'lever' is making sure you're genuinely UAE tax resident and not still tax resident (and therefore taxable) somewhere else under that other country's rules.</t>
        </is>
      </c>
      <c r="C7" s="6" t="inlineStr">
        <is>
          <t>There's no fee/tax combination among these six brokers that improves on 0%; broker choice here is purely about fees, product access, and service quality.</t>
        </is>
      </c>
    </row>
    <row r="8" ht="129.75" customHeight="1">
      <c r="A8" s="4" t="inlineStr">
        <is>
          <t>CH</t>
        </is>
      </c>
      <c r="B8" s="4" t="inlineStr">
        <is>
          <t>Meet all 5 of the Circular No. 36 private-investor safe-harbour criteria to keep the 0% rate on securities gains: hold each position ≥ 6 months, keep annual trading volume ≤ 5x your portfolio value, keep realized gains &lt; 50% of net income, don't use borrowed money to invest, and only use derivatives for hedging. Breaching these risks reclassification as a 'professional securities trader', taxing the same gains as ordinary income plus social security contributions.</t>
        </is>
      </c>
      <c r="C8" s="6" t="inlineStr">
        <is>
          <t>This is about how you invest (holding period, leverage, turnover), not which of these six brokers executes the trades — a broker cannot make you a 'private investor' if your trading pattern says otherwise.</t>
        </is>
      </c>
    </row>
    <row r="9" ht="129.75" customHeight="1">
      <c r="A9" s="4" t="inlineStr">
        <is>
          <t>UA</t>
        </is>
      </c>
      <c r="B9" s="4" t="inlineStr">
        <is>
          <t>Ukraine credits foreign tax already withheld on the same income against your 18% PIT liability (the 5% military levy is payable regardless) — make sure any foreign withholding tax deducted at source is properly documented so you can claim the credit and avoid double taxation. Keep clean records since Ukrainian brokers don't act as a tax agent for foreign securities — you self-declare and pay annually.</t>
        </is>
      </c>
      <c r="C9" s="6" t="inlineStr">
        <is>
          <t>None of these six brokers reduce the 23% combined rate on capital gains from securities — that's fixed by Ukrainian tax law regardless of custodian.</t>
        </is>
      </c>
    </row>
  </sheetData>
  <mergeCells count="1">
    <mergeCell ref="A1:C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8"/>
  <sheetViews>
    <sheetView zoomScaleNormal="100" workbookViewId="0">
      <selection activeCell="A1" sqref="A1:H1"/>
    </sheetView>
  </sheetViews>
  <sheetFormatPr baseColWidth="10" defaultColWidth="8.6640625" defaultRowHeight="15"/>
  <cols>
    <col width="14" customWidth="1" min="1" max="1"/>
    <col width="10" customWidth="1" min="2" max="7"/>
  </cols>
  <sheetData>
    <row r="1" ht="30" customHeight="1">
      <c r="A1" s="2" t="inlineStr">
        <is>
          <t>Which of these brokers actually accept clients from each tax residency (as of mid-2026) — always confirm on the broker's own site, this changes often</t>
        </is>
      </c>
    </row>
    <row r="2"/>
    <row r="3" ht="15" customHeight="1">
      <c r="A3" s="8" t="inlineStr">
        <is>
          <t>Broker</t>
        </is>
      </c>
      <c r="B3" s="8" t="inlineStr">
        <is>
          <t>US</t>
        </is>
      </c>
      <c r="C3" s="8" t="inlineStr">
        <is>
          <t>UK</t>
        </is>
      </c>
      <c r="D3" s="8" t="inlineStr">
        <is>
          <t>EU</t>
        </is>
      </c>
      <c r="E3" s="8" t="inlineStr">
        <is>
          <t>UAE</t>
        </is>
      </c>
      <c r="F3" s="8" t="inlineStr">
        <is>
          <t>CH</t>
        </is>
      </c>
      <c r="G3" s="8" t="inlineStr">
        <is>
          <t>UA</t>
        </is>
      </c>
    </row>
    <row r="4" ht="15" customHeight="1">
      <c r="A4" s="9" t="inlineStr">
        <is>
          <t>IBKR</t>
        </is>
      </c>
      <c r="B4" s="10" t="inlineStr">
        <is>
          <t>Y</t>
        </is>
      </c>
      <c r="C4" s="10" t="inlineStr">
        <is>
          <t>Y</t>
        </is>
      </c>
      <c r="D4" s="10" t="inlineStr">
        <is>
          <t>Y</t>
        </is>
      </c>
      <c r="E4" s="10" t="inlineStr">
        <is>
          <t>Y</t>
        </is>
      </c>
      <c r="F4" s="10" t="inlineStr">
        <is>
          <t>Y</t>
        </is>
      </c>
      <c r="G4" s="10" t="inlineStr">
        <is>
          <t>Y</t>
        </is>
      </c>
    </row>
    <row r="5" ht="15" customHeight="1">
      <c r="A5" s="9" t="inlineStr">
        <is>
          <t>Saxo</t>
        </is>
      </c>
      <c r="B5" s="11" t="inlineStr">
        <is>
          <t>N</t>
        </is>
      </c>
      <c r="C5" s="10" t="inlineStr">
        <is>
          <t>Y</t>
        </is>
      </c>
      <c r="D5" s="10" t="inlineStr">
        <is>
          <t>Y</t>
        </is>
      </c>
      <c r="E5" s="10" t="inlineStr">
        <is>
          <t>Y</t>
        </is>
      </c>
      <c r="F5" s="10" t="inlineStr">
        <is>
          <t>Y</t>
        </is>
      </c>
      <c r="G5" s="11" t="inlineStr">
        <is>
          <t>N</t>
        </is>
      </c>
    </row>
    <row r="6" ht="15" customHeight="1">
      <c r="A6" s="9" t="inlineStr">
        <is>
          <t>Wio</t>
        </is>
      </c>
      <c r="B6" s="11" t="inlineStr">
        <is>
          <t>N</t>
        </is>
      </c>
      <c r="C6" s="11" t="inlineStr">
        <is>
          <t>N</t>
        </is>
      </c>
      <c r="D6" s="11" t="inlineStr">
        <is>
          <t>N</t>
        </is>
      </c>
      <c r="E6" s="10" t="inlineStr">
        <is>
          <t>Y</t>
        </is>
      </c>
      <c r="F6" s="11" t="inlineStr">
        <is>
          <t>N</t>
        </is>
      </c>
      <c r="G6" s="11" t="inlineStr">
        <is>
          <t>N</t>
        </is>
      </c>
    </row>
    <row r="7" ht="15" customHeight="1">
      <c r="A7" s="9" t="inlineStr">
        <is>
          <t>Exante</t>
        </is>
      </c>
      <c r="B7" s="11" t="inlineStr">
        <is>
          <t>N</t>
        </is>
      </c>
      <c r="C7" s="10" t="inlineStr">
        <is>
          <t>Y</t>
        </is>
      </c>
      <c r="D7" s="10" t="inlineStr">
        <is>
          <t>Y</t>
        </is>
      </c>
      <c r="E7" s="10" t="inlineStr">
        <is>
          <t>Y</t>
        </is>
      </c>
      <c r="F7" s="10" t="inlineStr">
        <is>
          <t>Y</t>
        </is>
      </c>
      <c r="G7" s="12" t="inlineStr">
        <is>
          <t>Check</t>
        </is>
      </c>
    </row>
    <row r="8" ht="15" customHeight="1">
      <c r="A8" s="9" t="inlineStr">
        <is>
          <t>Swissquote</t>
        </is>
      </c>
      <c r="B8" s="11" t="inlineStr">
        <is>
          <t>N</t>
        </is>
      </c>
      <c r="C8" s="10" t="inlineStr">
        <is>
          <t>Y</t>
        </is>
      </c>
      <c r="D8" s="10" t="inlineStr">
        <is>
          <t>Y</t>
        </is>
      </c>
      <c r="E8" s="10" t="inlineStr">
        <is>
          <t>Y</t>
        </is>
      </c>
      <c r="F8" s="10" t="inlineStr">
        <is>
          <t>Y</t>
        </is>
      </c>
      <c r="G8" s="12" t="inlineStr">
        <is>
          <t>Check</t>
        </is>
      </c>
    </row>
    <row r="9" ht="15" customHeight="1">
      <c r="A9" s="9" t="inlineStr">
        <is>
          <t>XTB</t>
        </is>
      </c>
      <c r="B9" s="11" t="inlineStr">
        <is>
          <t>N</t>
        </is>
      </c>
      <c r="C9" s="10" t="inlineStr">
        <is>
          <t>Y</t>
        </is>
      </c>
      <c r="D9" s="10" t="inlineStr">
        <is>
          <t>Y</t>
        </is>
      </c>
      <c r="E9" s="10" t="inlineStr">
        <is>
          <t>Y</t>
        </is>
      </c>
      <c r="F9" s="10" t="inlineStr">
        <is>
          <t>Y</t>
        </is>
      </c>
      <c r="G9" s="10" t="inlineStr">
        <is>
          <t>Y</t>
        </is>
      </c>
    </row>
    <row r="10"/>
    <row r="11" ht="39.75" customHeight="1">
      <c r="A11" s="13" t="inlineStr">
        <is>
          <t>Note</t>
        </is>
      </c>
      <c r="B11" s="1" t="inlineStr">
        <is>
          <t>US: only IBKR among these six accepts US-tax resident clients directly (IBKR Lite for US stocks/ETFs, or IBKR Pro). Saxo, Wio, Exante, Swissquote and XTB all explicitly exclude US persons.</t>
        </is>
      </c>
    </row>
    <row r="12" ht="39.75" customHeight="1">
      <c r="A12" s="13" t="inlineStr">
        <is>
          <t>Note</t>
        </is>
      </c>
      <c r="B12" s="1" t="inlineStr">
        <is>
          <t>UAE: all six accept UAE tax residents (Wio requires a UAE Wio Personal bank account + Emirates ID/visa).</t>
        </is>
      </c>
    </row>
    <row r="13" ht="39.75" customHeight="1">
      <c r="A13" s="13" t="inlineStr">
        <is>
          <t>Note</t>
        </is>
      </c>
      <c r="B13" s="1" t="inlineStr">
        <is>
          <t>Ukraine (UA): IBKR and XTB confirmed available. Saxo stopped onboarding Ukraine tax residents from 1 July 2024. Exante and Swissquote have conflicting/unclear public info for Ukraine tax residency — contact them directly before assuming access.</t>
        </is>
      </c>
    </row>
    <row r="14" ht="39.75" customHeight="1">
      <c r="A14" s="13" t="inlineStr">
        <is>
          <t>Note</t>
        </is>
      </c>
      <c r="B14" s="1" t="inlineStr">
        <is>
          <t>Wio is a UAE-only digital bank/broker — not available to any other tax residency in this list.</t>
        </is>
      </c>
    </row>
    <row r="15" ht="39.75" customHeight="1">
      <c r="A15" s="13" t="inlineStr">
        <is>
          <t>Note</t>
        </is>
      </c>
      <c r="B15" s="1" t="inlineStr">
        <is>
          <t>'EU' and 'CH' rows assume a mainstream EU country and Switzerland; exact coverage still varies by specific country and by broker entity (e.g. XTB excludes Belgium; Saxo stopped several EU/EEA countries in 2024).</t>
        </is>
      </c>
    </row>
    <row r="17">
      <c r="A17" s="13" t="inlineStr">
        <is>
          <t>Note</t>
        </is>
      </c>
      <c r="B17" s="19" t="inlineStr">
        <is>
          <t>"Tax residency" is not the same as citizenship or physical/day-to-day location. It is the country where you are legally liable to pay tax, determined by rules such as days present, center of vital interests, or domicile — these vary by country. A person can live in one country while being tax-resident in another.</t>
        </is>
      </c>
    </row>
    <row r="18">
      <c r="A18" s="13" t="inlineStr">
        <is>
          <t>Note</t>
        </is>
      </c>
      <c r="B18" s="19" t="inlineStr">
        <is>
          <t>Broker availability is not universal: a broker eligible for a client's tax residency here does not guarantee availability of every account type, product, or wrapper (e.g. ISA) in that residency — always check the specific entity onboarding the client.</t>
        </is>
      </c>
    </row>
  </sheetData>
  <mergeCells count="6">
    <mergeCell ref="B14:G14"/>
    <mergeCell ref="B12:G12"/>
    <mergeCell ref="B13:G13"/>
    <mergeCell ref="A1:H1"/>
    <mergeCell ref="B15:G15"/>
    <mergeCell ref="B11:G1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9"/>
  <sheetViews>
    <sheetView zoomScaleNormal="100" workbookViewId="0">
      <pane ySplit="3" topLeftCell="A4" activePane="bottomLeft" state="frozen"/>
      <selection pane="bottomLeft" activeCell="A1" sqref="A1:D1"/>
    </sheetView>
  </sheetViews>
  <sheetFormatPr baseColWidth="10" defaultColWidth="8.6640625" defaultRowHeight="15"/>
  <cols>
    <col width="12" customWidth="1" min="1" max="1"/>
    <col width="16" customWidth="1" min="2" max="3"/>
    <col width="90" customWidth="1" min="4" max="4"/>
  </cols>
  <sheetData>
    <row r="1" ht="30" customHeight="1">
      <c r="A1" s="2" t="inlineStr">
        <is>
          <t>Capital gains tax by tax residency — this does NOT depend on which broker you use; broker choice cannot change your statutory tax rate</t>
        </is>
      </c>
    </row>
    <row r="3" ht="26.25" customHeight="1">
      <c r="A3" s="3" t="inlineStr">
        <is>
          <t>Tax Residency</t>
        </is>
      </c>
      <c r="B3" s="3" t="inlineStr">
        <is>
          <t>Typical Rate — Low</t>
        </is>
      </c>
      <c r="C3" s="3" t="inlineStr">
        <is>
          <t>Typical Rate — High</t>
        </is>
      </c>
      <c r="D3" s="3" t="inlineStr">
        <is>
          <t>Notes / Basis</t>
        </is>
      </c>
    </row>
    <row r="4" ht="90" customHeight="1">
      <c r="A4" s="4" t="inlineStr">
        <is>
          <t>US</t>
        </is>
      </c>
      <c r="B4" s="14" t="n">
        <v>0</v>
      </c>
      <c r="C4" s="14" t="n">
        <v>0.238</v>
      </c>
      <c r="D4" s="6" t="inlineStr">
        <is>
          <t>Federal long-term capital gains: 0% / 15% / 20% by taxable income bracket (2026: 0% up to ~$48,350 single/$96,700 joint; 20% above ~$533,400/$600,050). Add 3.8% Net Investment Income Tax (NIIT) above $200,000 single / $250,000 joint MAGI — worst case ~23.8%. Short-term gains (held ≤ 1 year) are taxed as ordinary income up to 37% (+3.8% NIIT = ~40.8%). State tax may add more (e.g. California up to 13.3%). Source: IRS Rev. Proc. 2025-32/40, checked Jun 2026.</t>
        </is>
      </c>
    </row>
    <row r="5" ht="90" customHeight="1">
      <c r="A5" s="4" t="inlineStr">
        <is>
          <t>UK</t>
        </is>
      </c>
      <c r="B5" s="14" t="n">
        <v>0.18</v>
      </c>
      <c r="C5" s="14" t="n">
        <v>0.24</v>
      </c>
      <c r="D5" s="6" t="inlineStr">
        <is>
          <t>18% for basic-rate taxpayers, 24% for higher/additional-rate taxpayers, on shares/funds/crypto and property alike since the 30 Oct 2024 Budget. £3,000 annual tax-free allowance (Annual Exempt Amount) per person, use-it-or-lose-it. Source: gov.uk CGT rates, checked Jun 2026.</t>
        </is>
      </c>
    </row>
    <row r="6" ht="90" customHeight="1">
      <c r="A6" s="4" t="inlineStr">
        <is>
          <t>EU</t>
        </is>
      </c>
      <c r="B6" s="14" t="n">
        <v>0</v>
      </c>
      <c r="C6" s="14" t="n">
        <v>0.314</v>
      </c>
      <c r="D6" s="6" t="inlineStr">
        <is>
          <t>'EU' is not one jurisdiction — treatment ranges from 0% (Belgium general regime, Netherlands taxes deemed return on wealth rather than realised share gains) to Germany's 26.375% flat Abgeltungsteuer (25% + solidarity surcharge) to France's 30% PFU flat tax (rising to ~31.4% effective with 2026 social-charge changes). Use your specific EU country's rate, not a bloc average.</t>
        </is>
      </c>
    </row>
    <row r="7" ht="90" customHeight="1">
      <c r="A7" s="4" t="inlineStr">
        <is>
          <t>UAE</t>
        </is>
      </c>
      <c r="B7" s="14" t="n">
        <v>0</v>
      </c>
      <c r="C7" s="14" t="n">
        <v>0</v>
      </c>
      <c r="D7" s="6" t="inlineStr">
        <is>
          <t>No personal income or capital gains tax for individuals. Genuinely broker-independent.</t>
        </is>
      </c>
    </row>
    <row r="8" ht="90" customHeight="1">
      <c r="A8" s="4" t="inlineStr">
        <is>
          <t>CH</t>
        </is>
      </c>
      <c r="B8" s="14" t="n">
        <v>0</v>
      </c>
      <c r="C8" s="14" t="n">
        <v>0</v>
      </c>
      <c r="D8" s="6" t="inlineStr">
        <is>
          <t>Private capital gains on shares/ETFs/bonds/crypto are exempt from federal, cantonal and municipal tax under Art. 16(3) DBG — provided you meet the 5 'safe harbour' private-investor criteria in Circular No. 36 (hold ≥ 6 months, annual turnover ≤ 5x portfolio, gains &lt; 50% of net income, no leverage, derivatives only for hedging). If reclassified as a professional securities trader, gains are taxed as ordinary income instead (plus social security contributions).</t>
        </is>
      </c>
    </row>
    <row r="9" ht="90" customHeight="1">
      <c r="A9" s="4" t="inlineStr">
        <is>
          <t>UA</t>
        </is>
      </c>
      <c r="B9" s="14" t="n">
        <v>0.23</v>
      </c>
      <c r="C9" s="14" t="n">
        <v>0.23</v>
      </c>
      <c r="D9" s="6" t="inlineStr">
        <is>
          <t>18% personal income tax + 5% wartime military levy (raised from 1.5% in Dec 2024) = 23% on capital gains from securities/investment assets. Ukraine-source dividends from Ukrainian CIT-paying companies get a lower combined ~6.5% rate; this 23% is for capital gains specifically.</t>
        </is>
      </c>
    </row>
  </sheetData>
  <mergeCells count="1">
    <mergeCell ref="A1:D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249"/>
  <sheetViews>
    <sheetView zoomScale="150" zoomScaleNormal="100" workbookViewId="0">
      <pane ySplit="3" topLeftCell="A60" activePane="bottomLeft" state="frozen"/>
      <selection pane="bottomLeft" activeCell="H3" sqref="H3:I3"/>
    </sheetView>
  </sheetViews>
  <sheetFormatPr baseColWidth="10" defaultColWidth="8.6640625" defaultRowHeight="15"/>
  <cols>
    <col width="10" customWidth="1" min="1" max="1"/>
    <col width="26" customWidth="1" min="2" max="2"/>
    <col width="12" customWidth="1" min="3" max="5"/>
    <col width="14" customWidth="1" min="6" max="6"/>
    <col width="22" customWidth="1" min="7" max="7"/>
    <col width="190.6640625" customWidth="1" min="8" max="8"/>
    <col width="15.33203125" customWidth="1" min="9" max="9"/>
    <col width="16" customWidth="1" min="10" max="10"/>
  </cols>
  <sheetData>
    <row r="1" ht="30" customHeight="1">
      <c r="A1" s="2" t="inlineStr">
        <is>
          <t>1-3 broker combinations by tax residency — eligibility, combined minimum deposit, and the applicable capital-gains tax range (tax depends only on tax residency, not broker)</t>
        </is>
      </c>
    </row>
    <row r="2"/>
    <row r="3" ht="26.25" customHeight="1">
      <c r="A3" s="3" t="inlineStr">
        <is>
          <t>Tax Residency</t>
        </is>
      </c>
      <c r="B3" s="3" t="inlineStr">
        <is>
          <t>Broker_Combo</t>
        </is>
      </c>
      <c r="C3" s="3" t="inlineStr">
        <is>
          <t>Broker1</t>
        </is>
      </c>
      <c r="D3" s="3" t="inlineStr">
        <is>
          <t>Broker2</t>
        </is>
      </c>
      <c r="E3" s="3" t="inlineStr">
        <is>
          <t>Broker3</t>
        </is>
      </c>
      <c r="F3" s="3" t="inlineStr">
        <is>
          <t>All_Eligible</t>
        </is>
      </c>
      <c r="G3" s="3" t="inlineStr">
        <is>
          <t>Combined_Min_Deposit (approx USD)</t>
        </is>
      </c>
      <c r="H3" s="3" t="inlineStr">
        <is>
          <t>Notes</t>
        </is>
      </c>
      <c r="I3" s="3" t="inlineStr">
        <is>
          <t>Capital Gains Tax — Low</t>
        </is>
      </c>
      <c r="J3" s="3" t="inlineStr">
        <is>
          <t>Capital Gains Tax — High</t>
        </is>
      </c>
    </row>
    <row r="4" ht="15" customHeight="1">
      <c r="A4" s="9" t="inlineStr">
        <is>
          <t>US</t>
        </is>
      </c>
      <c r="B4" s="9" t="inlineStr">
        <is>
          <t>IBKR</t>
        </is>
      </c>
      <c r="C4" s="15" t="inlineStr">
        <is>
          <t>IBKR</t>
        </is>
      </c>
      <c r="D4" s="15" t="n"/>
      <c r="E4" s="15" t="n"/>
      <c r="F4" s="9">
        <f>IF(OR(IF(C4="","", IFERROR(INDEX('Tax Residency Eligibility'!$B$4:$G$9,MATCH(C4,'Tax Residency Eligibility'!$A$4:$A$9,0),MATCH($A4,'Tax Residency Eligibility'!$B$3:$G$3,0)),"?"))="N",IF(D4="","", IFERROR(INDEX('Tax Residency Eligibility'!$B$4:$G$9,MATCH(D4,'Tax Residency Eligibility'!$A$4:$A$9,0),MATCH($A4,'Tax Residency Eligibility'!$B$3:$G$3,0)),"?"))="N",IF(E4="","", IFERROR(INDEX('Tax Residency Eligibility'!$B$4:$G$9,MATCH(E4,'Tax Residency Eligibility'!$A$4:$A$9,0),MATCH($A4,'Tax Residency Eligibility'!$B$3:$G$3,0)),"?"))="N"),"No",IF(OR(IF(C4="","", IFERROR(INDEX('Tax Residency Eligibility'!$B$4:$G$9,MATCH(C4,'Tax Residency Eligibility'!$A$4:$A$9,0),MATCH($A4,'Tax Residency Eligibility'!$B$3:$G$3,0)),"?"))="Check",IF(D4="","", IFERROR(INDEX('Tax Residency Eligibility'!$B$4:$G$9,MATCH(D4,'Tax Residency Eligibility'!$A$4:$A$9,0),MATCH($A4,'Tax Residency Eligibility'!$B$3:$G$3,0)),"?"))="Check",IF(E4="","", IFERROR(INDEX('Tax Residency Eligibility'!$B$4:$G$9,MATCH(E4,'Tax Residency Eligibility'!$A$4:$A$9,0),MATCH($A4,'Tax Residency Eligibility'!$B$3:$G$3,0)),"?"))="Check"),"Check directly","Yes"))</f>
        <v/>
      </c>
      <c r="G4" s="16">
        <f>IFERROR(VLOOKUP(C4,'Broker Fees'!$A$4:$G$9,7,0),0)+IF(D4="",0,IFERROR(VLOOKUP(D4,'Broker Fees'!$A$4:$G$9,7,0),0))+IF(E4="",0,IFERROR(VLOOKUP(E4,'Broker Fees'!$A$4:$G$9,7,0),0))</f>
        <v/>
      </c>
      <c r="H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 s="18">
        <f>VLOOKUP($A4,'Capital Gains Tax'!$A$4:$D$9,2,0)</f>
        <v/>
      </c>
      <c r="J4" s="18">
        <f>VLOOKUP($A4,'Capital Gains Tax'!$A$4:$D$9,3,0)</f>
        <v/>
      </c>
    </row>
    <row r="5" ht="15" customHeight="1">
      <c r="A5" s="9" t="inlineStr">
        <is>
          <t>US</t>
        </is>
      </c>
      <c r="B5" s="9" t="inlineStr">
        <is>
          <t>Saxo</t>
        </is>
      </c>
      <c r="C5" s="15" t="inlineStr">
        <is>
          <t>Saxo</t>
        </is>
      </c>
      <c r="D5" s="15" t="n"/>
      <c r="E5" s="15" t="n"/>
      <c r="F5" s="9">
        <f>IF(OR(IF(C5="","", IFERROR(INDEX('Tax Residency Eligibility'!$B$4:$G$9,MATCH(C5,'Tax Residency Eligibility'!$A$4:$A$9,0),MATCH($A5,'Tax Residency Eligibility'!$B$3:$G$3,0)),"?"))="N",IF(D5="","", IFERROR(INDEX('Tax Residency Eligibility'!$B$4:$G$9,MATCH(D5,'Tax Residency Eligibility'!$A$4:$A$9,0),MATCH($A5,'Tax Residency Eligibility'!$B$3:$G$3,0)),"?"))="N",IF(E5="","", IFERROR(INDEX('Tax Residency Eligibility'!$B$4:$G$9,MATCH(E5,'Tax Residency Eligibility'!$A$4:$A$9,0),MATCH($A5,'Tax Residency Eligibility'!$B$3:$G$3,0)),"?"))="N"),"No",IF(OR(IF(C5="","", IFERROR(INDEX('Tax Residency Eligibility'!$B$4:$G$9,MATCH(C5,'Tax Residency Eligibility'!$A$4:$A$9,0),MATCH($A5,'Tax Residency Eligibility'!$B$3:$G$3,0)),"?"))="Check",IF(D5="","", IFERROR(INDEX('Tax Residency Eligibility'!$B$4:$G$9,MATCH(D5,'Tax Residency Eligibility'!$A$4:$A$9,0),MATCH($A5,'Tax Residency Eligibility'!$B$3:$G$3,0)),"?"))="Check",IF(E5="","", IFERROR(INDEX('Tax Residency Eligibility'!$B$4:$G$9,MATCH(E5,'Tax Residency Eligibility'!$A$4:$A$9,0),MATCH($A5,'Tax Residency Eligibility'!$B$3:$G$3,0)),"?"))="Check"),"Check directly","Yes"))</f>
        <v/>
      </c>
      <c r="G5" s="16">
        <f>IFERROR(VLOOKUP(C5,'Broker Fees'!$A$4:$G$9,7,0),0)+IF(D5="",0,IFERROR(VLOOKUP(D5,'Broker Fees'!$A$4:$G$9,7,0),0))+IF(E5="",0,IFERROR(VLOOKUP(E5,'Broker Fees'!$A$4:$G$9,7,0),0))</f>
        <v/>
      </c>
      <c r="H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 s="18">
        <f>VLOOKUP($A5,'Capital Gains Tax'!$A$4:$D$9,2,0)</f>
        <v/>
      </c>
      <c r="J5" s="18">
        <f>VLOOKUP($A5,'Capital Gains Tax'!$A$4:$D$9,3,0)</f>
        <v/>
      </c>
    </row>
    <row r="6" ht="15" customHeight="1">
      <c r="A6" s="9" t="inlineStr">
        <is>
          <t>US</t>
        </is>
      </c>
      <c r="B6" s="9" t="inlineStr">
        <is>
          <t>Wio</t>
        </is>
      </c>
      <c r="C6" s="15" t="inlineStr">
        <is>
          <t>Wio</t>
        </is>
      </c>
      <c r="D6" s="15" t="n"/>
      <c r="E6" s="15" t="n"/>
      <c r="F6" s="9">
        <f>IF(OR(IF(C6="","", IFERROR(INDEX('Tax Residency Eligibility'!$B$4:$G$9,MATCH(C6,'Tax Residency Eligibility'!$A$4:$A$9,0),MATCH($A6,'Tax Residency Eligibility'!$B$3:$G$3,0)),"?"))="N",IF(D6="","", IFERROR(INDEX('Tax Residency Eligibility'!$B$4:$G$9,MATCH(D6,'Tax Residency Eligibility'!$A$4:$A$9,0),MATCH($A6,'Tax Residency Eligibility'!$B$3:$G$3,0)),"?"))="N",IF(E6="","", IFERROR(INDEX('Tax Residency Eligibility'!$B$4:$G$9,MATCH(E6,'Tax Residency Eligibility'!$A$4:$A$9,0),MATCH($A6,'Tax Residency Eligibility'!$B$3:$G$3,0)),"?"))="N"),"No",IF(OR(IF(C6="","", IFERROR(INDEX('Tax Residency Eligibility'!$B$4:$G$9,MATCH(C6,'Tax Residency Eligibility'!$A$4:$A$9,0),MATCH($A6,'Tax Residency Eligibility'!$B$3:$G$3,0)),"?"))="Check",IF(D6="","", IFERROR(INDEX('Tax Residency Eligibility'!$B$4:$G$9,MATCH(D6,'Tax Residency Eligibility'!$A$4:$A$9,0),MATCH($A6,'Tax Residency Eligibility'!$B$3:$G$3,0)),"?"))="Check",IF(E6="","", IFERROR(INDEX('Tax Residency Eligibility'!$B$4:$G$9,MATCH(E6,'Tax Residency Eligibility'!$A$4:$A$9,0),MATCH($A6,'Tax Residency Eligibility'!$B$3:$G$3,0)),"?"))="Check"),"Check directly","Yes"))</f>
        <v/>
      </c>
      <c r="G6" s="16">
        <f>IFERROR(VLOOKUP(C6,'Broker Fees'!$A$4:$G$9,7,0),0)+IF(D6="",0,IFERROR(VLOOKUP(D6,'Broker Fees'!$A$4:$G$9,7,0),0))+IF(E6="",0,IFERROR(VLOOKUP(E6,'Broker Fees'!$A$4:$G$9,7,0),0))</f>
        <v/>
      </c>
      <c r="H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 s="18">
        <f>VLOOKUP($A6,'Capital Gains Tax'!$A$4:$D$9,2,0)</f>
        <v/>
      </c>
      <c r="J6" s="18">
        <f>VLOOKUP($A6,'Capital Gains Tax'!$A$4:$D$9,3,0)</f>
        <v/>
      </c>
    </row>
    <row r="7" ht="15" customHeight="1">
      <c r="A7" s="9" t="inlineStr">
        <is>
          <t>US</t>
        </is>
      </c>
      <c r="B7" s="9" t="inlineStr">
        <is>
          <t>Exante</t>
        </is>
      </c>
      <c r="C7" s="15" t="inlineStr">
        <is>
          <t>Exante</t>
        </is>
      </c>
      <c r="D7" s="15" t="n"/>
      <c r="E7" s="15" t="n"/>
      <c r="F7" s="9">
        <f>IF(OR(IF(C7="","", IFERROR(INDEX('Tax Residency Eligibility'!$B$4:$G$9,MATCH(C7,'Tax Residency Eligibility'!$A$4:$A$9,0),MATCH($A7,'Tax Residency Eligibility'!$B$3:$G$3,0)),"?"))="N",IF(D7="","", IFERROR(INDEX('Tax Residency Eligibility'!$B$4:$G$9,MATCH(D7,'Tax Residency Eligibility'!$A$4:$A$9,0),MATCH($A7,'Tax Residency Eligibility'!$B$3:$G$3,0)),"?"))="N",IF(E7="","", IFERROR(INDEX('Tax Residency Eligibility'!$B$4:$G$9,MATCH(E7,'Tax Residency Eligibility'!$A$4:$A$9,0),MATCH($A7,'Tax Residency Eligibility'!$B$3:$G$3,0)),"?"))="N"),"No",IF(OR(IF(C7="","", IFERROR(INDEX('Tax Residency Eligibility'!$B$4:$G$9,MATCH(C7,'Tax Residency Eligibility'!$A$4:$A$9,0),MATCH($A7,'Tax Residency Eligibility'!$B$3:$G$3,0)),"?"))="Check",IF(D7="","", IFERROR(INDEX('Tax Residency Eligibility'!$B$4:$G$9,MATCH(D7,'Tax Residency Eligibility'!$A$4:$A$9,0),MATCH($A7,'Tax Residency Eligibility'!$B$3:$G$3,0)),"?"))="Check",IF(E7="","", IFERROR(INDEX('Tax Residency Eligibility'!$B$4:$G$9,MATCH(E7,'Tax Residency Eligibility'!$A$4:$A$9,0),MATCH($A7,'Tax Residency Eligibility'!$B$3:$G$3,0)),"?"))="Check"),"Check directly","Yes"))</f>
        <v/>
      </c>
      <c r="G7" s="16">
        <f>IFERROR(VLOOKUP(C7,'Broker Fees'!$A$4:$G$9,7,0),0)+IF(D7="",0,IFERROR(VLOOKUP(D7,'Broker Fees'!$A$4:$G$9,7,0),0))+IF(E7="",0,IFERROR(VLOOKUP(E7,'Broker Fees'!$A$4:$G$9,7,0),0))</f>
        <v/>
      </c>
      <c r="H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 s="18">
        <f>VLOOKUP($A7,'Capital Gains Tax'!$A$4:$D$9,2,0)</f>
        <v/>
      </c>
      <c r="J7" s="18">
        <f>VLOOKUP($A7,'Capital Gains Tax'!$A$4:$D$9,3,0)</f>
        <v/>
      </c>
    </row>
    <row r="8" ht="15" customHeight="1">
      <c r="A8" s="9" t="inlineStr">
        <is>
          <t>US</t>
        </is>
      </c>
      <c r="B8" s="9" t="inlineStr">
        <is>
          <t>Swissquote</t>
        </is>
      </c>
      <c r="C8" s="15" t="inlineStr">
        <is>
          <t>Swissquote</t>
        </is>
      </c>
      <c r="D8" s="15" t="n"/>
      <c r="E8" s="15" t="n"/>
      <c r="F8" s="9">
        <f>IF(OR(IF(C8="","", IFERROR(INDEX('Tax Residency Eligibility'!$B$4:$G$9,MATCH(C8,'Tax Residency Eligibility'!$A$4:$A$9,0),MATCH($A8,'Tax Residency Eligibility'!$B$3:$G$3,0)),"?"))="N",IF(D8="","", IFERROR(INDEX('Tax Residency Eligibility'!$B$4:$G$9,MATCH(D8,'Tax Residency Eligibility'!$A$4:$A$9,0),MATCH($A8,'Tax Residency Eligibility'!$B$3:$G$3,0)),"?"))="N",IF(E8="","", IFERROR(INDEX('Tax Residency Eligibility'!$B$4:$G$9,MATCH(E8,'Tax Residency Eligibility'!$A$4:$A$9,0),MATCH($A8,'Tax Residency Eligibility'!$B$3:$G$3,0)),"?"))="N"),"No",IF(OR(IF(C8="","", IFERROR(INDEX('Tax Residency Eligibility'!$B$4:$G$9,MATCH(C8,'Tax Residency Eligibility'!$A$4:$A$9,0),MATCH($A8,'Tax Residency Eligibility'!$B$3:$G$3,0)),"?"))="Check",IF(D8="","", IFERROR(INDEX('Tax Residency Eligibility'!$B$4:$G$9,MATCH(D8,'Tax Residency Eligibility'!$A$4:$A$9,0),MATCH($A8,'Tax Residency Eligibility'!$B$3:$G$3,0)),"?"))="Check",IF(E8="","", IFERROR(INDEX('Tax Residency Eligibility'!$B$4:$G$9,MATCH(E8,'Tax Residency Eligibility'!$A$4:$A$9,0),MATCH($A8,'Tax Residency Eligibility'!$B$3:$G$3,0)),"?"))="Check"),"Check directly","Yes"))</f>
        <v/>
      </c>
      <c r="G8" s="16">
        <f>IFERROR(VLOOKUP(C8,'Broker Fees'!$A$4:$G$9,7,0),0)+IF(D8="",0,IFERROR(VLOOKUP(D8,'Broker Fees'!$A$4:$G$9,7,0),0))+IF(E8="",0,IFERROR(VLOOKUP(E8,'Broker Fees'!$A$4:$G$9,7,0),0))</f>
        <v/>
      </c>
      <c r="H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 s="18">
        <f>VLOOKUP($A8,'Capital Gains Tax'!$A$4:$D$9,2,0)</f>
        <v/>
      </c>
      <c r="J8" s="18">
        <f>VLOOKUP($A8,'Capital Gains Tax'!$A$4:$D$9,3,0)</f>
        <v/>
      </c>
    </row>
    <row r="9" ht="15" customHeight="1">
      <c r="A9" s="9" t="inlineStr">
        <is>
          <t>US</t>
        </is>
      </c>
      <c r="B9" s="9" t="inlineStr">
        <is>
          <t>XTB</t>
        </is>
      </c>
      <c r="C9" s="15" t="inlineStr">
        <is>
          <t>XTB</t>
        </is>
      </c>
      <c r="D9" s="15" t="n"/>
      <c r="E9" s="15" t="n"/>
      <c r="F9" s="9">
        <f>IF(OR(IF(C9="","", IFERROR(INDEX('Tax Residency Eligibility'!$B$4:$G$9,MATCH(C9,'Tax Residency Eligibility'!$A$4:$A$9,0),MATCH($A9,'Tax Residency Eligibility'!$B$3:$G$3,0)),"?"))="N",IF(D9="","", IFERROR(INDEX('Tax Residency Eligibility'!$B$4:$G$9,MATCH(D9,'Tax Residency Eligibility'!$A$4:$A$9,0),MATCH($A9,'Tax Residency Eligibility'!$B$3:$G$3,0)),"?"))="N",IF(E9="","", IFERROR(INDEX('Tax Residency Eligibility'!$B$4:$G$9,MATCH(E9,'Tax Residency Eligibility'!$A$4:$A$9,0),MATCH($A9,'Tax Residency Eligibility'!$B$3:$G$3,0)),"?"))="N"),"No",IF(OR(IF(C9="","", IFERROR(INDEX('Tax Residency Eligibility'!$B$4:$G$9,MATCH(C9,'Tax Residency Eligibility'!$A$4:$A$9,0),MATCH($A9,'Tax Residency Eligibility'!$B$3:$G$3,0)),"?"))="Check",IF(D9="","", IFERROR(INDEX('Tax Residency Eligibility'!$B$4:$G$9,MATCH(D9,'Tax Residency Eligibility'!$A$4:$A$9,0),MATCH($A9,'Tax Residency Eligibility'!$B$3:$G$3,0)),"?"))="Check",IF(E9="","", IFERROR(INDEX('Tax Residency Eligibility'!$B$4:$G$9,MATCH(E9,'Tax Residency Eligibility'!$A$4:$A$9,0),MATCH($A9,'Tax Residency Eligibility'!$B$3:$G$3,0)),"?"))="Check"),"Check directly","Yes"))</f>
        <v/>
      </c>
      <c r="G9" s="16">
        <f>IFERROR(VLOOKUP(C9,'Broker Fees'!$A$4:$G$9,7,0),0)+IF(D9="",0,IFERROR(VLOOKUP(D9,'Broker Fees'!$A$4:$G$9,7,0),0))+IF(E9="",0,IFERROR(VLOOKUP(E9,'Broker Fees'!$A$4:$G$9,7,0),0))</f>
        <v/>
      </c>
      <c r="H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 s="18">
        <f>VLOOKUP($A9,'Capital Gains Tax'!$A$4:$D$9,2,0)</f>
        <v/>
      </c>
      <c r="J9" s="18">
        <f>VLOOKUP($A9,'Capital Gains Tax'!$A$4:$D$9,3,0)</f>
        <v/>
      </c>
    </row>
    <row r="10" ht="15" customHeight="1">
      <c r="A10" s="9" t="inlineStr">
        <is>
          <t>US</t>
        </is>
      </c>
      <c r="B10" s="9" t="inlineStr">
        <is>
          <t>IBKR+Saxo</t>
        </is>
      </c>
      <c r="C10" s="15" t="inlineStr">
        <is>
          <t>IBKR</t>
        </is>
      </c>
      <c r="D10" s="15" t="inlineStr">
        <is>
          <t>Saxo</t>
        </is>
      </c>
      <c r="E10" s="15" t="n"/>
      <c r="F10" s="9">
        <f>IF(OR(IF(C10="","", IFERROR(INDEX('Tax Residency Eligibility'!$B$4:$G$9,MATCH(C10,'Tax Residency Eligibility'!$A$4:$A$9,0),MATCH($A10,'Tax Residency Eligibility'!$B$3:$G$3,0)),"?"))="N",IF(D10="","", IFERROR(INDEX('Tax Residency Eligibility'!$B$4:$G$9,MATCH(D10,'Tax Residency Eligibility'!$A$4:$A$9,0),MATCH($A10,'Tax Residency Eligibility'!$B$3:$G$3,0)),"?"))="N",IF(E10="","", IFERROR(INDEX('Tax Residency Eligibility'!$B$4:$G$9,MATCH(E10,'Tax Residency Eligibility'!$A$4:$A$9,0),MATCH($A10,'Tax Residency Eligibility'!$B$3:$G$3,0)),"?"))="N"),"No",IF(OR(IF(C10="","", IFERROR(INDEX('Tax Residency Eligibility'!$B$4:$G$9,MATCH(C10,'Tax Residency Eligibility'!$A$4:$A$9,0),MATCH($A10,'Tax Residency Eligibility'!$B$3:$G$3,0)),"?"))="Check",IF(D10="","", IFERROR(INDEX('Tax Residency Eligibility'!$B$4:$G$9,MATCH(D10,'Tax Residency Eligibility'!$A$4:$A$9,0),MATCH($A10,'Tax Residency Eligibility'!$B$3:$G$3,0)),"?"))="Check",IF(E10="","", IFERROR(INDEX('Tax Residency Eligibility'!$B$4:$G$9,MATCH(E10,'Tax Residency Eligibility'!$A$4:$A$9,0),MATCH($A10,'Tax Residency Eligibility'!$B$3:$G$3,0)),"?"))="Check"),"Check directly","Yes"))</f>
        <v/>
      </c>
      <c r="G10" s="16">
        <f>IFERROR(VLOOKUP(C10,'Broker Fees'!$A$4:$G$9,7,0),0)+IF(D10="",0,IFERROR(VLOOKUP(D10,'Broker Fees'!$A$4:$G$9,7,0),0))+IF(E10="",0,IFERROR(VLOOKUP(E10,'Broker Fees'!$A$4:$G$9,7,0),0))</f>
        <v/>
      </c>
      <c r="H1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 s="18">
        <f>VLOOKUP($A10,'Capital Gains Tax'!$A$4:$D$9,2,0)</f>
        <v/>
      </c>
      <c r="J10" s="18">
        <f>VLOOKUP($A10,'Capital Gains Tax'!$A$4:$D$9,3,0)</f>
        <v/>
      </c>
    </row>
    <row r="11" ht="15" customHeight="1">
      <c r="A11" s="9" t="inlineStr">
        <is>
          <t>US</t>
        </is>
      </c>
      <c r="B11" s="9" t="inlineStr">
        <is>
          <t>IBKR+Wio</t>
        </is>
      </c>
      <c r="C11" s="15" t="inlineStr">
        <is>
          <t>IBKR</t>
        </is>
      </c>
      <c r="D11" s="15" t="inlineStr">
        <is>
          <t>Wio</t>
        </is>
      </c>
      <c r="E11" s="15" t="n"/>
      <c r="F11" s="9">
        <f>IF(OR(IF(C11="","", IFERROR(INDEX('Tax Residency Eligibility'!$B$4:$G$9,MATCH(C11,'Tax Residency Eligibility'!$A$4:$A$9,0),MATCH($A11,'Tax Residency Eligibility'!$B$3:$G$3,0)),"?"))="N",IF(D11="","", IFERROR(INDEX('Tax Residency Eligibility'!$B$4:$G$9,MATCH(D11,'Tax Residency Eligibility'!$A$4:$A$9,0),MATCH($A11,'Tax Residency Eligibility'!$B$3:$G$3,0)),"?"))="N",IF(E11="","", IFERROR(INDEX('Tax Residency Eligibility'!$B$4:$G$9,MATCH(E11,'Tax Residency Eligibility'!$A$4:$A$9,0),MATCH($A11,'Tax Residency Eligibility'!$B$3:$G$3,0)),"?"))="N"),"No",IF(OR(IF(C11="","", IFERROR(INDEX('Tax Residency Eligibility'!$B$4:$G$9,MATCH(C11,'Tax Residency Eligibility'!$A$4:$A$9,0),MATCH($A11,'Tax Residency Eligibility'!$B$3:$G$3,0)),"?"))="Check",IF(D11="","", IFERROR(INDEX('Tax Residency Eligibility'!$B$4:$G$9,MATCH(D11,'Tax Residency Eligibility'!$A$4:$A$9,0),MATCH($A11,'Tax Residency Eligibility'!$B$3:$G$3,0)),"?"))="Check",IF(E11="","", IFERROR(INDEX('Tax Residency Eligibility'!$B$4:$G$9,MATCH(E11,'Tax Residency Eligibility'!$A$4:$A$9,0),MATCH($A11,'Tax Residency Eligibility'!$B$3:$G$3,0)),"?"))="Check"),"Check directly","Yes"))</f>
        <v/>
      </c>
      <c r="G11" s="16">
        <f>IFERROR(VLOOKUP(C11,'Broker Fees'!$A$4:$G$9,7,0),0)+IF(D11="",0,IFERROR(VLOOKUP(D11,'Broker Fees'!$A$4:$G$9,7,0),0))+IF(E11="",0,IFERROR(VLOOKUP(E11,'Broker Fees'!$A$4:$G$9,7,0),0))</f>
        <v/>
      </c>
      <c r="H1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 s="18">
        <f>VLOOKUP($A11,'Capital Gains Tax'!$A$4:$D$9,2,0)</f>
        <v/>
      </c>
      <c r="J11" s="18">
        <f>VLOOKUP($A11,'Capital Gains Tax'!$A$4:$D$9,3,0)</f>
        <v/>
      </c>
    </row>
    <row r="12" ht="15" customHeight="1">
      <c r="A12" s="9" t="inlineStr">
        <is>
          <t>US</t>
        </is>
      </c>
      <c r="B12" s="9" t="inlineStr">
        <is>
          <t>IBKR+Exante</t>
        </is>
      </c>
      <c r="C12" s="15" t="inlineStr">
        <is>
          <t>IBKR</t>
        </is>
      </c>
      <c r="D12" s="15" t="inlineStr">
        <is>
          <t>Exante</t>
        </is>
      </c>
      <c r="E12" s="15" t="n"/>
      <c r="F12" s="9">
        <f>IF(OR(IF(C12="","", IFERROR(INDEX('Tax Residency Eligibility'!$B$4:$G$9,MATCH(C12,'Tax Residency Eligibility'!$A$4:$A$9,0),MATCH($A12,'Tax Residency Eligibility'!$B$3:$G$3,0)),"?"))="N",IF(D12="","", IFERROR(INDEX('Tax Residency Eligibility'!$B$4:$G$9,MATCH(D12,'Tax Residency Eligibility'!$A$4:$A$9,0),MATCH($A12,'Tax Residency Eligibility'!$B$3:$G$3,0)),"?"))="N",IF(E12="","", IFERROR(INDEX('Tax Residency Eligibility'!$B$4:$G$9,MATCH(E12,'Tax Residency Eligibility'!$A$4:$A$9,0),MATCH($A12,'Tax Residency Eligibility'!$B$3:$G$3,0)),"?"))="N"),"No",IF(OR(IF(C12="","", IFERROR(INDEX('Tax Residency Eligibility'!$B$4:$G$9,MATCH(C12,'Tax Residency Eligibility'!$A$4:$A$9,0),MATCH($A12,'Tax Residency Eligibility'!$B$3:$G$3,0)),"?"))="Check",IF(D12="","", IFERROR(INDEX('Tax Residency Eligibility'!$B$4:$G$9,MATCH(D12,'Tax Residency Eligibility'!$A$4:$A$9,0),MATCH($A12,'Tax Residency Eligibility'!$B$3:$G$3,0)),"?"))="Check",IF(E12="","", IFERROR(INDEX('Tax Residency Eligibility'!$B$4:$G$9,MATCH(E12,'Tax Residency Eligibility'!$A$4:$A$9,0),MATCH($A12,'Tax Residency Eligibility'!$B$3:$G$3,0)),"?"))="Check"),"Check directly","Yes"))</f>
        <v/>
      </c>
      <c r="G12" s="16">
        <f>IFERROR(VLOOKUP(C12,'Broker Fees'!$A$4:$G$9,7,0),0)+IF(D12="",0,IFERROR(VLOOKUP(D12,'Broker Fees'!$A$4:$G$9,7,0),0))+IF(E12="",0,IFERROR(VLOOKUP(E12,'Broker Fees'!$A$4:$G$9,7,0),0))</f>
        <v/>
      </c>
      <c r="H1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 s="18">
        <f>VLOOKUP($A12,'Capital Gains Tax'!$A$4:$D$9,2,0)</f>
        <v/>
      </c>
      <c r="J12" s="18">
        <f>VLOOKUP($A12,'Capital Gains Tax'!$A$4:$D$9,3,0)</f>
        <v/>
      </c>
    </row>
    <row r="13" ht="15" customHeight="1">
      <c r="A13" s="9" t="inlineStr">
        <is>
          <t>US</t>
        </is>
      </c>
      <c r="B13" s="9" t="inlineStr">
        <is>
          <t>IBKR+Swissquote</t>
        </is>
      </c>
      <c r="C13" s="15" t="inlineStr">
        <is>
          <t>IBKR</t>
        </is>
      </c>
      <c r="D13" s="15" t="inlineStr">
        <is>
          <t>Swissquote</t>
        </is>
      </c>
      <c r="E13" s="15" t="n"/>
      <c r="F13" s="9">
        <f>IF(OR(IF(C13="","", IFERROR(INDEX('Tax Residency Eligibility'!$B$4:$G$9,MATCH(C13,'Tax Residency Eligibility'!$A$4:$A$9,0),MATCH($A13,'Tax Residency Eligibility'!$B$3:$G$3,0)),"?"))="N",IF(D13="","", IFERROR(INDEX('Tax Residency Eligibility'!$B$4:$G$9,MATCH(D13,'Tax Residency Eligibility'!$A$4:$A$9,0),MATCH($A13,'Tax Residency Eligibility'!$B$3:$G$3,0)),"?"))="N",IF(E13="","", IFERROR(INDEX('Tax Residency Eligibility'!$B$4:$G$9,MATCH(E13,'Tax Residency Eligibility'!$A$4:$A$9,0),MATCH($A13,'Tax Residency Eligibility'!$B$3:$G$3,0)),"?"))="N"),"No",IF(OR(IF(C13="","", IFERROR(INDEX('Tax Residency Eligibility'!$B$4:$G$9,MATCH(C13,'Tax Residency Eligibility'!$A$4:$A$9,0),MATCH($A13,'Tax Residency Eligibility'!$B$3:$G$3,0)),"?"))="Check",IF(D13="","", IFERROR(INDEX('Tax Residency Eligibility'!$B$4:$G$9,MATCH(D13,'Tax Residency Eligibility'!$A$4:$A$9,0),MATCH($A13,'Tax Residency Eligibility'!$B$3:$G$3,0)),"?"))="Check",IF(E13="","", IFERROR(INDEX('Tax Residency Eligibility'!$B$4:$G$9,MATCH(E13,'Tax Residency Eligibility'!$A$4:$A$9,0),MATCH($A13,'Tax Residency Eligibility'!$B$3:$G$3,0)),"?"))="Check"),"Check directly","Yes"))</f>
        <v/>
      </c>
      <c r="G13" s="16">
        <f>IFERROR(VLOOKUP(C13,'Broker Fees'!$A$4:$G$9,7,0),0)+IF(D13="",0,IFERROR(VLOOKUP(D13,'Broker Fees'!$A$4:$G$9,7,0),0))+IF(E13="",0,IFERROR(VLOOKUP(E13,'Broker Fees'!$A$4:$G$9,7,0),0))</f>
        <v/>
      </c>
      <c r="H1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 s="18">
        <f>VLOOKUP($A13,'Capital Gains Tax'!$A$4:$D$9,2,0)</f>
        <v/>
      </c>
      <c r="J13" s="18">
        <f>VLOOKUP($A13,'Capital Gains Tax'!$A$4:$D$9,3,0)</f>
        <v/>
      </c>
    </row>
    <row r="14" ht="15" customHeight="1">
      <c r="A14" s="9" t="inlineStr">
        <is>
          <t>US</t>
        </is>
      </c>
      <c r="B14" s="9" t="inlineStr">
        <is>
          <t>IBKR+XTB</t>
        </is>
      </c>
      <c r="C14" s="15" t="inlineStr">
        <is>
          <t>IBKR</t>
        </is>
      </c>
      <c r="D14" s="15" t="inlineStr">
        <is>
          <t>XTB</t>
        </is>
      </c>
      <c r="E14" s="15" t="n"/>
      <c r="F14" s="9">
        <f>IF(OR(IF(C14="","", IFERROR(INDEX('Tax Residency Eligibility'!$B$4:$G$9,MATCH(C14,'Tax Residency Eligibility'!$A$4:$A$9,0),MATCH($A14,'Tax Residency Eligibility'!$B$3:$G$3,0)),"?"))="N",IF(D14="","", IFERROR(INDEX('Tax Residency Eligibility'!$B$4:$G$9,MATCH(D14,'Tax Residency Eligibility'!$A$4:$A$9,0),MATCH($A14,'Tax Residency Eligibility'!$B$3:$G$3,0)),"?"))="N",IF(E14="","", IFERROR(INDEX('Tax Residency Eligibility'!$B$4:$G$9,MATCH(E14,'Tax Residency Eligibility'!$A$4:$A$9,0),MATCH($A14,'Tax Residency Eligibility'!$B$3:$G$3,0)),"?"))="N"),"No",IF(OR(IF(C14="","", IFERROR(INDEX('Tax Residency Eligibility'!$B$4:$G$9,MATCH(C14,'Tax Residency Eligibility'!$A$4:$A$9,0),MATCH($A14,'Tax Residency Eligibility'!$B$3:$G$3,0)),"?"))="Check",IF(D14="","", IFERROR(INDEX('Tax Residency Eligibility'!$B$4:$G$9,MATCH(D14,'Tax Residency Eligibility'!$A$4:$A$9,0),MATCH($A14,'Tax Residency Eligibility'!$B$3:$G$3,0)),"?"))="Check",IF(E14="","", IFERROR(INDEX('Tax Residency Eligibility'!$B$4:$G$9,MATCH(E14,'Tax Residency Eligibility'!$A$4:$A$9,0),MATCH($A14,'Tax Residency Eligibility'!$B$3:$G$3,0)),"?"))="Check"),"Check directly","Yes"))</f>
        <v/>
      </c>
      <c r="G14" s="16">
        <f>IFERROR(VLOOKUP(C14,'Broker Fees'!$A$4:$G$9,7,0),0)+IF(D14="",0,IFERROR(VLOOKUP(D14,'Broker Fees'!$A$4:$G$9,7,0),0))+IF(E14="",0,IFERROR(VLOOKUP(E14,'Broker Fees'!$A$4:$G$9,7,0),0))</f>
        <v/>
      </c>
      <c r="H1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 s="18">
        <f>VLOOKUP($A14,'Capital Gains Tax'!$A$4:$D$9,2,0)</f>
        <v/>
      </c>
      <c r="J14" s="18">
        <f>VLOOKUP($A14,'Capital Gains Tax'!$A$4:$D$9,3,0)</f>
        <v/>
      </c>
    </row>
    <row r="15" ht="15" customHeight="1">
      <c r="A15" s="9" t="inlineStr">
        <is>
          <t>US</t>
        </is>
      </c>
      <c r="B15" s="9" t="inlineStr">
        <is>
          <t>Saxo+Wio</t>
        </is>
      </c>
      <c r="C15" s="15" t="inlineStr">
        <is>
          <t>Saxo</t>
        </is>
      </c>
      <c r="D15" s="15" t="inlineStr">
        <is>
          <t>Wio</t>
        </is>
      </c>
      <c r="E15" s="15" t="n"/>
      <c r="F15" s="9">
        <f>IF(OR(IF(C15="","", IFERROR(INDEX('Tax Residency Eligibility'!$B$4:$G$9,MATCH(C15,'Tax Residency Eligibility'!$A$4:$A$9,0),MATCH($A15,'Tax Residency Eligibility'!$B$3:$G$3,0)),"?"))="N",IF(D15="","", IFERROR(INDEX('Tax Residency Eligibility'!$B$4:$G$9,MATCH(D15,'Tax Residency Eligibility'!$A$4:$A$9,0),MATCH($A15,'Tax Residency Eligibility'!$B$3:$G$3,0)),"?"))="N",IF(E15="","", IFERROR(INDEX('Tax Residency Eligibility'!$B$4:$G$9,MATCH(E15,'Tax Residency Eligibility'!$A$4:$A$9,0),MATCH($A15,'Tax Residency Eligibility'!$B$3:$G$3,0)),"?"))="N"),"No",IF(OR(IF(C15="","", IFERROR(INDEX('Tax Residency Eligibility'!$B$4:$G$9,MATCH(C15,'Tax Residency Eligibility'!$A$4:$A$9,0),MATCH($A15,'Tax Residency Eligibility'!$B$3:$G$3,0)),"?"))="Check",IF(D15="","", IFERROR(INDEX('Tax Residency Eligibility'!$B$4:$G$9,MATCH(D15,'Tax Residency Eligibility'!$A$4:$A$9,0),MATCH($A15,'Tax Residency Eligibility'!$B$3:$G$3,0)),"?"))="Check",IF(E15="","", IFERROR(INDEX('Tax Residency Eligibility'!$B$4:$G$9,MATCH(E15,'Tax Residency Eligibility'!$A$4:$A$9,0),MATCH($A15,'Tax Residency Eligibility'!$B$3:$G$3,0)),"?"))="Check"),"Check directly","Yes"))</f>
        <v/>
      </c>
      <c r="G15" s="16">
        <f>IFERROR(VLOOKUP(C15,'Broker Fees'!$A$4:$G$9,7,0),0)+IF(D15="",0,IFERROR(VLOOKUP(D15,'Broker Fees'!$A$4:$G$9,7,0),0))+IF(E15="",0,IFERROR(VLOOKUP(E15,'Broker Fees'!$A$4:$G$9,7,0),0))</f>
        <v/>
      </c>
      <c r="H1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 s="18">
        <f>VLOOKUP($A15,'Capital Gains Tax'!$A$4:$D$9,2,0)</f>
        <v/>
      </c>
      <c r="J15" s="18">
        <f>VLOOKUP($A15,'Capital Gains Tax'!$A$4:$D$9,3,0)</f>
        <v/>
      </c>
    </row>
    <row r="16" ht="15" customHeight="1">
      <c r="A16" s="9" t="inlineStr">
        <is>
          <t>US</t>
        </is>
      </c>
      <c r="B16" s="9" t="inlineStr">
        <is>
          <t>Saxo+Exante</t>
        </is>
      </c>
      <c r="C16" s="15" t="inlineStr">
        <is>
          <t>Saxo</t>
        </is>
      </c>
      <c r="D16" s="15" t="inlineStr">
        <is>
          <t>Exante</t>
        </is>
      </c>
      <c r="E16" s="15" t="n"/>
      <c r="F16" s="9">
        <f>IF(OR(IF(C16="","", IFERROR(INDEX('Tax Residency Eligibility'!$B$4:$G$9,MATCH(C16,'Tax Residency Eligibility'!$A$4:$A$9,0),MATCH($A16,'Tax Residency Eligibility'!$B$3:$G$3,0)),"?"))="N",IF(D16="","", IFERROR(INDEX('Tax Residency Eligibility'!$B$4:$G$9,MATCH(D16,'Tax Residency Eligibility'!$A$4:$A$9,0),MATCH($A16,'Tax Residency Eligibility'!$B$3:$G$3,0)),"?"))="N",IF(E16="","", IFERROR(INDEX('Tax Residency Eligibility'!$B$4:$G$9,MATCH(E16,'Tax Residency Eligibility'!$A$4:$A$9,0),MATCH($A16,'Tax Residency Eligibility'!$B$3:$G$3,0)),"?"))="N"),"No",IF(OR(IF(C16="","", IFERROR(INDEX('Tax Residency Eligibility'!$B$4:$G$9,MATCH(C16,'Tax Residency Eligibility'!$A$4:$A$9,0),MATCH($A16,'Tax Residency Eligibility'!$B$3:$G$3,0)),"?"))="Check",IF(D16="","", IFERROR(INDEX('Tax Residency Eligibility'!$B$4:$G$9,MATCH(D16,'Tax Residency Eligibility'!$A$4:$A$9,0),MATCH($A16,'Tax Residency Eligibility'!$B$3:$G$3,0)),"?"))="Check",IF(E16="","", IFERROR(INDEX('Tax Residency Eligibility'!$B$4:$G$9,MATCH(E16,'Tax Residency Eligibility'!$A$4:$A$9,0),MATCH($A16,'Tax Residency Eligibility'!$B$3:$G$3,0)),"?"))="Check"),"Check directly","Yes"))</f>
        <v/>
      </c>
      <c r="G16" s="16">
        <f>IFERROR(VLOOKUP(C16,'Broker Fees'!$A$4:$G$9,7,0),0)+IF(D16="",0,IFERROR(VLOOKUP(D16,'Broker Fees'!$A$4:$G$9,7,0),0))+IF(E16="",0,IFERROR(VLOOKUP(E16,'Broker Fees'!$A$4:$G$9,7,0),0))</f>
        <v/>
      </c>
      <c r="H1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 s="18">
        <f>VLOOKUP($A16,'Capital Gains Tax'!$A$4:$D$9,2,0)</f>
        <v/>
      </c>
      <c r="J16" s="18">
        <f>VLOOKUP($A16,'Capital Gains Tax'!$A$4:$D$9,3,0)</f>
        <v/>
      </c>
    </row>
    <row r="17" ht="15" customHeight="1">
      <c r="A17" s="9" t="inlineStr">
        <is>
          <t>US</t>
        </is>
      </c>
      <c r="B17" s="9" t="inlineStr">
        <is>
          <t>Saxo+Swissquote</t>
        </is>
      </c>
      <c r="C17" s="15" t="inlineStr">
        <is>
          <t>Saxo</t>
        </is>
      </c>
      <c r="D17" s="15" t="inlineStr">
        <is>
          <t>Swissquote</t>
        </is>
      </c>
      <c r="E17" s="15" t="n"/>
      <c r="F17" s="9">
        <f>IF(OR(IF(C17="","", IFERROR(INDEX('Tax Residency Eligibility'!$B$4:$G$9,MATCH(C17,'Tax Residency Eligibility'!$A$4:$A$9,0),MATCH($A17,'Tax Residency Eligibility'!$B$3:$G$3,0)),"?"))="N",IF(D17="","", IFERROR(INDEX('Tax Residency Eligibility'!$B$4:$G$9,MATCH(D17,'Tax Residency Eligibility'!$A$4:$A$9,0),MATCH($A17,'Tax Residency Eligibility'!$B$3:$G$3,0)),"?"))="N",IF(E17="","", IFERROR(INDEX('Tax Residency Eligibility'!$B$4:$G$9,MATCH(E17,'Tax Residency Eligibility'!$A$4:$A$9,0),MATCH($A17,'Tax Residency Eligibility'!$B$3:$G$3,0)),"?"))="N"),"No",IF(OR(IF(C17="","", IFERROR(INDEX('Tax Residency Eligibility'!$B$4:$G$9,MATCH(C17,'Tax Residency Eligibility'!$A$4:$A$9,0),MATCH($A17,'Tax Residency Eligibility'!$B$3:$G$3,0)),"?"))="Check",IF(D17="","", IFERROR(INDEX('Tax Residency Eligibility'!$B$4:$G$9,MATCH(D17,'Tax Residency Eligibility'!$A$4:$A$9,0),MATCH($A17,'Tax Residency Eligibility'!$B$3:$G$3,0)),"?"))="Check",IF(E17="","", IFERROR(INDEX('Tax Residency Eligibility'!$B$4:$G$9,MATCH(E17,'Tax Residency Eligibility'!$A$4:$A$9,0),MATCH($A17,'Tax Residency Eligibility'!$B$3:$G$3,0)),"?"))="Check"),"Check directly","Yes"))</f>
        <v/>
      </c>
      <c r="G17" s="16">
        <f>IFERROR(VLOOKUP(C17,'Broker Fees'!$A$4:$G$9,7,0),0)+IF(D17="",0,IFERROR(VLOOKUP(D17,'Broker Fees'!$A$4:$G$9,7,0),0))+IF(E17="",0,IFERROR(VLOOKUP(E17,'Broker Fees'!$A$4:$G$9,7,0),0))</f>
        <v/>
      </c>
      <c r="H1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 s="18">
        <f>VLOOKUP($A17,'Capital Gains Tax'!$A$4:$D$9,2,0)</f>
        <v/>
      </c>
      <c r="J17" s="18">
        <f>VLOOKUP($A17,'Capital Gains Tax'!$A$4:$D$9,3,0)</f>
        <v/>
      </c>
    </row>
    <row r="18" ht="15" customHeight="1">
      <c r="A18" s="9" t="inlineStr">
        <is>
          <t>US</t>
        </is>
      </c>
      <c r="B18" s="9" t="inlineStr">
        <is>
          <t>Saxo+XTB</t>
        </is>
      </c>
      <c r="C18" s="15" t="inlineStr">
        <is>
          <t>Saxo</t>
        </is>
      </c>
      <c r="D18" s="15" t="inlineStr">
        <is>
          <t>XTB</t>
        </is>
      </c>
      <c r="E18" s="15" t="n"/>
      <c r="F18" s="9">
        <f>IF(OR(IF(C18="","", IFERROR(INDEX('Tax Residency Eligibility'!$B$4:$G$9,MATCH(C18,'Tax Residency Eligibility'!$A$4:$A$9,0),MATCH($A18,'Tax Residency Eligibility'!$B$3:$G$3,0)),"?"))="N",IF(D18="","", IFERROR(INDEX('Tax Residency Eligibility'!$B$4:$G$9,MATCH(D18,'Tax Residency Eligibility'!$A$4:$A$9,0),MATCH($A18,'Tax Residency Eligibility'!$B$3:$G$3,0)),"?"))="N",IF(E18="","", IFERROR(INDEX('Tax Residency Eligibility'!$B$4:$G$9,MATCH(E18,'Tax Residency Eligibility'!$A$4:$A$9,0),MATCH($A18,'Tax Residency Eligibility'!$B$3:$G$3,0)),"?"))="N"),"No",IF(OR(IF(C18="","", IFERROR(INDEX('Tax Residency Eligibility'!$B$4:$G$9,MATCH(C18,'Tax Residency Eligibility'!$A$4:$A$9,0),MATCH($A18,'Tax Residency Eligibility'!$B$3:$G$3,0)),"?"))="Check",IF(D18="","", IFERROR(INDEX('Tax Residency Eligibility'!$B$4:$G$9,MATCH(D18,'Tax Residency Eligibility'!$A$4:$A$9,0),MATCH($A18,'Tax Residency Eligibility'!$B$3:$G$3,0)),"?"))="Check",IF(E18="","", IFERROR(INDEX('Tax Residency Eligibility'!$B$4:$G$9,MATCH(E18,'Tax Residency Eligibility'!$A$4:$A$9,0),MATCH($A18,'Tax Residency Eligibility'!$B$3:$G$3,0)),"?"))="Check"),"Check directly","Yes"))</f>
        <v/>
      </c>
      <c r="G18" s="16">
        <f>IFERROR(VLOOKUP(C18,'Broker Fees'!$A$4:$G$9,7,0),0)+IF(D18="",0,IFERROR(VLOOKUP(D18,'Broker Fees'!$A$4:$G$9,7,0),0))+IF(E18="",0,IFERROR(VLOOKUP(E18,'Broker Fees'!$A$4:$G$9,7,0),0))</f>
        <v/>
      </c>
      <c r="H1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 s="18">
        <f>VLOOKUP($A18,'Capital Gains Tax'!$A$4:$D$9,2,0)</f>
        <v/>
      </c>
      <c r="J18" s="18">
        <f>VLOOKUP($A18,'Capital Gains Tax'!$A$4:$D$9,3,0)</f>
        <v/>
      </c>
    </row>
    <row r="19" ht="15" customHeight="1">
      <c r="A19" s="9" t="inlineStr">
        <is>
          <t>US</t>
        </is>
      </c>
      <c r="B19" s="9" t="inlineStr">
        <is>
          <t>Wio+Exante</t>
        </is>
      </c>
      <c r="C19" s="15" t="inlineStr">
        <is>
          <t>Wio</t>
        </is>
      </c>
      <c r="D19" s="15" t="inlineStr">
        <is>
          <t>Exante</t>
        </is>
      </c>
      <c r="E19" s="15" t="n"/>
      <c r="F19" s="9">
        <f>IF(OR(IF(C19="","", IFERROR(INDEX('Tax Residency Eligibility'!$B$4:$G$9,MATCH(C19,'Tax Residency Eligibility'!$A$4:$A$9,0),MATCH($A19,'Tax Residency Eligibility'!$B$3:$G$3,0)),"?"))="N",IF(D19="","", IFERROR(INDEX('Tax Residency Eligibility'!$B$4:$G$9,MATCH(D19,'Tax Residency Eligibility'!$A$4:$A$9,0),MATCH($A19,'Tax Residency Eligibility'!$B$3:$G$3,0)),"?"))="N",IF(E19="","", IFERROR(INDEX('Tax Residency Eligibility'!$B$4:$G$9,MATCH(E19,'Tax Residency Eligibility'!$A$4:$A$9,0),MATCH($A19,'Tax Residency Eligibility'!$B$3:$G$3,0)),"?"))="N"),"No",IF(OR(IF(C19="","", IFERROR(INDEX('Tax Residency Eligibility'!$B$4:$G$9,MATCH(C19,'Tax Residency Eligibility'!$A$4:$A$9,0),MATCH($A19,'Tax Residency Eligibility'!$B$3:$G$3,0)),"?"))="Check",IF(D19="","", IFERROR(INDEX('Tax Residency Eligibility'!$B$4:$G$9,MATCH(D19,'Tax Residency Eligibility'!$A$4:$A$9,0),MATCH($A19,'Tax Residency Eligibility'!$B$3:$G$3,0)),"?"))="Check",IF(E19="","", IFERROR(INDEX('Tax Residency Eligibility'!$B$4:$G$9,MATCH(E19,'Tax Residency Eligibility'!$A$4:$A$9,0),MATCH($A19,'Tax Residency Eligibility'!$B$3:$G$3,0)),"?"))="Check"),"Check directly","Yes"))</f>
        <v/>
      </c>
      <c r="G19" s="16">
        <f>IFERROR(VLOOKUP(C19,'Broker Fees'!$A$4:$G$9,7,0),0)+IF(D19="",0,IFERROR(VLOOKUP(D19,'Broker Fees'!$A$4:$G$9,7,0),0))+IF(E19="",0,IFERROR(VLOOKUP(E19,'Broker Fees'!$A$4:$G$9,7,0),0))</f>
        <v/>
      </c>
      <c r="H1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 s="18">
        <f>VLOOKUP($A19,'Capital Gains Tax'!$A$4:$D$9,2,0)</f>
        <v/>
      </c>
      <c r="J19" s="18">
        <f>VLOOKUP($A19,'Capital Gains Tax'!$A$4:$D$9,3,0)</f>
        <v/>
      </c>
    </row>
    <row r="20" ht="15" customHeight="1">
      <c r="A20" s="9" t="inlineStr">
        <is>
          <t>US</t>
        </is>
      </c>
      <c r="B20" s="9" t="inlineStr">
        <is>
          <t>Wio+Swissquote</t>
        </is>
      </c>
      <c r="C20" s="15" t="inlineStr">
        <is>
          <t>Wio</t>
        </is>
      </c>
      <c r="D20" s="15" t="inlineStr">
        <is>
          <t>Swissquote</t>
        </is>
      </c>
      <c r="E20" s="15" t="n"/>
      <c r="F20" s="9">
        <f>IF(OR(IF(C20="","", IFERROR(INDEX('Tax Residency Eligibility'!$B$4:$G$9,MATCH(C20,'Tax Residency Eligibility'!$A$4:$A$9,0),MATCH($A20,'Tax Residency Eligibility'!$B$3:$G$3,0)),"?"))="N",IF(D20="","", IFERROR(INDEX('Tax Residency Eligibility'!$B$4:$G$9,MATCH(D20,'Tax Residency Eligibility'!$A$4:$A$9,0),MATCH($A20,'Tax Residency Eligibility'!$B$3:$G$3,0)),"?"))="N",IF(E20="","", IFERROR(INDEX('Tax Residency Eligibility'!$B$4:$G$9,MATCH(E20,'Tax Residency Eligibility'!$A$4:$A$9,0),MATCH($A20,'Tax Residency Eligibility'!$B$3:$G$3,0)),"?"))="N"),"No",IF(OR(IF(C20="","", IFERROR(INDEX('Tax Residency Eligibility'!$B$4:$G$9,MATCH(C20,'Tax Residency Eligibility'!$A$4:$A$9,0),MATCH($A20,'Tax Residency Eligibility'!$B$3:$G$3,0)),"?"))="Check",IF(D20="","", IFERROR(INDEX('Tax Residency Eligibility'!$B$4:$G$9,MATCH(D20,'Tax Residency Eligibility'!$A$4:$A$9,0),MATCH($A20,'Tax Residency Eligibility'!$B$3:$G$3,0)),"?"))="Check",IF(E20="","", IFERROR(INDEX('Tax Residency Eligibility'!$B$4:$G$9,MATCH(E20,'Tax Residency Eligibility'!$A$4:$A$9,0),MATCH($A20,'Tax Residency Eligibility'!$B$3:$G$3,0)),"?"))="Check"),"Check directly","Yes"))</f>
        <v/>
      </c>
      <c r="G20" s="16">
        <f>IFERROR(VLOOKUP(C20,'Broker Fees'!$A$4:$G$9,7,0),0)+IF(D20="",0,IFERROR(VLOOKUP(D20,'Broker Fees'!$A$4:$G$9,7,0),0))+IF(E20="",0,IFERROR(VLOOKUP(E20,'Broker Fees'!$A$4:$G$9,7,0),0))</f>
        <v/>
      </c>
      <c r="H2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 s="18">
        <f>VLOOKUP($A20,'Capital Gains Tax'!$A$4:$D$9,2,0)</f>
        <v/>
      </c>
      <c r="J20" s="18">
        <f>VLOOKUP($A20,'Capital Gains Tax'!$A$4:$D$9,3,0)</f>
        <v/>
      </c>
    </row>
    <row r="21" ht="15" customHeight="1">
      <c r="A21" s="9" t="inlineStr">
        <is>
          <t>US</t>
        </is>
      </c>
      <c r="B21" s="9" t="inlineStr">
        <is>
          <t>Wio+XTB</t>
        </is>
      </c>
      <c r="C21" s="15" t="inlineStr">
        <is>
          <t>Wio</t>
        </is>
      </c>
      <c r="D21" s="15" t="inlineStr">
        <is>
          <t>XTB</t>
        </is>
      </c>
      <c r="E21" s="15" t="n"/>
      <c r="F21" s="9">
        <f>IF(OR(IF(C21="","", IFERROR(INDEX('Tax Residency Eligibility'!$B$4:$G$9,MATCH(C21,'Tax Residency Eligibility'!$A$4:$A$9,0),MATCH($A21,'Tax Residency Eligibility'!$B$3:$G$3,0)),"?"))="N",IF(D21="","", IFERROR(INDEX('Tax Residency Eligibility'!$B$4:$G$9,MATCH(D21,'Tax Residency Eligibility'!$A$4:$A$9,0),MATCH($A21,'Tax Residency Eligibility'!$B$3:$G$3,0)),"?"))="N",IF(E21="","", IFERROR(INDEX('Tax Residency Eligibility'!$B$4:$G$9,MATCH(E21,'Tax Residency Eligibility'!$A$4:$A$9,0),MATCH($A21,'Tax Residency Eligibility'!$B$3:$G$3,0)),"?"))="N"),"No",IF(OR(IF(C21="","", IFERROR(INDEX('Tax Residency Eligibility'!$B$4:$G$9,MATCH(C21,'Tax Residency Eligibility'!$A$4:$A$9,0),MATCH($A21,'Tax Residency Eligibility'!$B$3:$G$3,0)),"?"))="Check",IF(D21="","", IFERROR(INDEX('Tax Residency Eligibility'!$B$4:$G$9,MATCH(D21,'Tax Residency Eligibility'!$A$4:$A$9,0),MATCH($A21,'Tax Residency Eligibility'!$B$3:$G$3,0)),"?"))="Check",IF(E21="","", IFERROR(INDEX('Tax Residency Eligibility'!$B$4:$G$9,MATCH(E21,'Tax Residency Eligibility'!$A$4:$A$9,0),MATCH($A21,'Tax Residency Eligibility'!$B$3:$G$3,0)),"?"))="Check"),"Check directly","Yes"))</f>
        <v/>
      </c>
      <c r="G21" s="16">
        <f>IFERROR(VLOOKUP(C21,'Broker Fees'!$A$4:$G$9,7,0),0)+IF(D21="",0,IFERROR(VLOOKUP(D21,'Broker Fees'!$A$4:$G$9,7,0),0))+IF(E21="",0,IFERROR(VLOOKUP(E21,'Broker Fees'!$A$4:$G$9,7,0),0))</f>
        <v/>
      </c>
      <c r="H2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 s="18">
        <f>VLOOKUP($A21,'Capital Gains Tax'!$A$4:$D$9,2,0)</f>
        <v/>
      </c>
      <c r="J21" s="18">
        <f>VLOOKUP($A21,'Capital Gains Tax'!$A$4:$D$9,3,0)</f>
        <v/>
      </c>
    </row>
    <row r="22" ht="15" customHeight="1">
      <c r="A22" s="9" t="inlineStr">
        <is>
          <t>US</t>
        </is>
      </c>
      <c r="B22" s="9" t="inlineStr">
        <is>
          <t>Exante+Swissquote</t>
        </is>
      </c>
      <c r="C22" s="15" t="inlineStr">
        <is>
          <t>Exante</t>
        </is>
      </c>
      <c r="D22" s="15" t="inlineStr">
        <is>
          <t>Swissquote</t>
        </is>
      </c>
      <c r="E22" s="15" t="n"/>
      <c r="F22" s="9">
        <f>IF(OR(IF(C22="","", IFERROR(INDEX('Tax Residency Eligibility'!$B$4:$G$9,MATCH(C22,'Tax Residency Eligibility'!$A$4:$A$9,0),MATCH($A22,'Tax Residency Eligibility'!$B$3:$G$3,0)),"?"))="N",IF(D22="","", IFERROR(INDEX('Tax Residency Eligibility'!$B$4:$G$9,MATCH(D22,'Tax Residency Eligibility'!$A$4:$A$9,0),MATCH($A22,'Tax Residency Eligibility'!$B$3:$G$3,0)),"?"))="N",IF(E22="","", IFERROR(INDEX('Tax Residency Eligibility'!$B$4:$G$9,MATCH(E22,'Tax Residency Eligibility'!$A$4:$A$9,0),MATCH($A22,'Tax Residency Eligibility'!$B$3:$G$3,0)),"?"))="N"),"No",IF(OR(IF(C22="","", IFERROR(INDEX('Tax Residency Eligibility'!$B$4:$G$9,MATCH(C22,'Tax Residency Eligibility'!$A$4:$A$9,0),MATCH($A22,'Tax Residency Eligibility'!$B$3:$G$3,0)),"?"))="Check",IF(D22="","", IFERROR(INDEX('Tax Residency Eligibility'!$B$4:$G$9,MATCH(D22,'Tax Residency Eligibility'!$A$4:$A$9,0),MATCH($A22,'Tax Residency Eligibility'!$B$3:$G$3,0)),"?"))="Check",IF(E22="","", IFERROR(INDEX('Tax Residency Eligibility'!$B$4:$G$9,MATCH(E22,'Tax Residency Eligibility'!$A$4:$A$9,0),MATCH($A22,'Tax Residency Eligibility'!$B$3:$G$3,0)),"?"))="Check"),"Check directly","Yes"))</f>
        <v/>
      </c>
      <c r="G22" s="16">
        <f>IFERROR(VLOOKUP(C22,'Broker Fees'!$A$4:$G$9,7,0),0)+IF(D22="",0,IFERROR(VLOOKUP(D22,'Broker Fees'!$A$4:$G$9,7,0),0))+IF(E22="",0,IFERROR(VLOOKUP(E22,'Broker Fees'!$A$4:$G$9,7,0),0))</f>
        <v/>
      </c>
      <c r="H2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 s="18">
        <f>VLOOKUP($A22,'Capital Gains Tax'!$A$4:$D$9,2,0)</f>
        <v/>
      </c>
      <c r="J22" s="18">
        <f>VLOOKUP($A22,'Capital Gains Tax'!$A$4:$D$9,3,0)</f>
        <v/>
      </c>
    </row>
    <row r="23" ht="15" customHeight="1">
      <c r="A23" s="9" t="inlineStr">
        <is>
          <t>US</t>
        </is>
      </c>
      <c r="B23" s="9" t="inlineStr">
        <is>
          <t>Exante+XTB</t>
        </is>
      </c>
      <c r="C23" s="15" t="inlineStr">
        <is>
          <t>Exante</t>
        </is>
      </c>
      <c r="D23" s="15" t="inlineStr">
        <is>
          <t>XTB</t>
        </is>
      </c>
      <c r="E23" s="15" t="n"/>
      <c r="F23" s="9">
        <f>IF(OR(IF(C23="","", IFERROR(INDEX('Tax Residency Eligibility'!$B$4:$G$9,MATCH(C23,'Tax Residency Eligibility'!$A$4:$A$9,0),MATCH($A23,'Tax Residency Eligibility'!$B$3:$G$3,0)),"?"))="N",IF(D23="","", IFERROR(INDEX('Tax Residency Eligibility'!$B$4:$G$9,MATCH(D23,'Tax Residency Eligibility'!$A$4:$A$9,0),MATCH($A23,'Tax Residency Eligibility'!$B$3:$G$3,0)),"?"))="N",IF(E23="","", IFERROR(INDEX('Tax Residency Eligibility'!$B$4:$G$9,MATCH(E23,'Tax Residency Eligibility'!$A$4:$A$9,0),MATCH($A23,'Tax Residency Eligibility'!$B$3:$G$3,0)),"?"))="N"),"No",IF(OR(IF(C23="","", IFERROR(INDEX('Tax Residency Eligibility'!$B$4:$G$9,MATCH(C23,'Tax Residency Eligibility'!$A$4:$A$9,0),MATCH($A23,'Tax Residency Eligibility'!$B$3:$G$3,0)),"?"))="Check",IF(D23="","", IFERROR(INDEX('Tax Residency Eligibility'!$B$4:$G$9,MATCH(D23,'Tax Residency Eligibility'!$A$4:$A$9,0),MATCH($A23,'Tax Residency Eligibility'!$B$3:$G$3,0)),"?"))="Check",IF(E23="","", IFERROR(INDEX('Tax Residency Eligibility'!$B$4:$G$9,MATCH(E23,'Tax Residency Eligibility'!$A$4:$A$9,0),MATCH($A23,'Tax Residency Eligibility'!$B$3:$G$3,0)),"?"))="Check"),"Check directly","Yes"))</f>
        <v/>
      </c>
      <c r="G23" s="16">
        <f>IFERROR(VLOOKUP(C23,'Broker Fees'!$A$4:$G$9,7,0),0)+IF(D23="",0,IFERROR(VLOOKUP(D23,'Broker Fees'!$A$4:$G$9,7,0),0))+IF(E23="",0,IFERROR(VLOOKUP(E23,'Broker Fees'!$A$4:$G$9,7,0),0))</f>
        <v/>
      </c>
      <c r="H2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 s="18">
        <f>VLOOKUP($A23,'Capital Gains Tax'!$A$4:$D$9,2,0)</f>
        <v/>
      </c>
      <c r="J23" s="18">
        <f>VLOOKUP($A23,'Capital Gains Tax'!$A$4:$D$9,3,0)</f>
        <v/>
      </c>
    </row>
    <row r="24" ht="15" customHeight="1">
      <c r="A24" s="9" t="inlineStr">
        <is>
          <t>US</t>
        </is>
      </c>
      <c r="B24" s="9" t="inlineStr">
        <is>
          <t>Swissquote+XTB</t>
        </is>
      </c>
      <c r="C24" s="15" t="inlineStr">
        <is>
          <t>Swissquote</t>
        </is>
      </c>
      <c r="D24" s="15" t="inlineStr">
        <is>
          <t>XTB</t>
        </is>
      </c>
      <c r="E24" s="15" t="n"/>
      <c r="F24" s="9">
        <f>IF(OR(IF(C24="","", IFERROR(INDEX('Tax Residency Eligibility'!$B$4:$G$9,MATCH(C24,'Tax Residency Eligibility'!$A$4:$A$9,0),MATCH($A24,'Tax Residency Eligibility'!$B$3:$G$3,0)),"?"))="N",IF(D24="","", IFERROR(INDEX('Tax Residency Eligibility'!$B$4:$G$9,MATCH(D24,'Tax Residency Eligibility'!$A$4:$A$9,0),MATCH($A24,'Tax Residency Eligibility'!$B$3:$G$3,0)),"?"))="N",IF(E24="","", IFERROR(INDEX('Tax Residency Eligibility'!$B$4:$G$9,MATCH(E24,'Tax Residency Eligibility'!$A$4:$A$9,0),MATCH($A24,'Tax Residency Eligibility'!$B$3:$G$3,0)),"?"))="N"),"No",IF(OR(IF(C24="","", IFERROR(INDEX('Tax Residency Eligibility'!$B$4:$G$9,MATCH(C24,'Tax Residency Eligibility'!$A$4:$A$9,0),MATCH($A24,'Tax Residency Eligibility'!$B$3:$G$3,0)),"?"))="Check",IF(D24="","", IFERROR(INDEX('Tax Residency Eligibility'!$B$4:$G$9,MATCH(D24,'Tax Residency Eligibility'!$A$4:$A$9,0),MATCH($A24,'Tax Residency Eligibility'!$B$3:$G$3,0)),"?"))="Check",IF(E24="","", IFERROR(INDEX('Tax Residency Eligibility'!$B$4:$G$9,MATCH(E24,'Tax Residency Eligibility'!$A$4:$A$9,0),MATCH($A24,'Tax Residency Eligibility'!$B$3:$G$3,0)),"?"))="Check"),"Check directly","Yes"))</f>
        <v/>
      </c>
      <c r="G24" s="16">
        <f>IFERROR(VLOOKUP(C24,'Broker Fees'!$A$4:$G$9,7,0),0)+IF(D24="",0,IFERROR(VLOOKUP(D24,'Broker Fees'!$A$4:$G$9,7,0),0))+IF(E24="",0,IFERROR(VLOOKUP(E24,'Broker Fees'!$A$4:$G$9,7,0),0))</f>
        <v/>
      </c>
      <c r="H2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 s="18">
        <f>VLOOKUP($A24,'Capital Gains Tax'!$A$4:$D$9,2,0)</f>
        <v/>
      </c>
      <c r="J24" s="18">
        <f>VLOOKUP($A24,'Capital Gains Tax'!$A$4:$D$9,3,0)</f>
        <v/>
      </c>
    </row>
    <row r="25" ht="15" customHeight="1">
      <c r="A25" s="9" t="inlineStr">
        <is>
          <t>US</t>
        </is>
      </c>
      <c r="B25" s="9" t="inlineStr">
        <is>
          <t>IBKR+Saxo+Wio</t>
        </is>
      </c>
      <c r="C25" s="15" t="inlineStr">
        <is>
          <t>IBKR</t>
        </is>
      </c>
      <c r="D25" s="15" t="inlineStr">
        <is>
          <t>Saxo</t>
        </is>
      </c>
      <c r="E25" s="15" t="inlineStr">
        <is>
          <t>Wio</t>
        </is>
      </c>
      <c r="F25" s="9">
        <f>IF(OR(IF(C25="","", IFERROR(INDEX('Tax Residency Eligibility'!$B$4:$G$9,MATCH(C25,'Tax Residency Eligibility'!$A$4:$A$9,0),MATCH($A25,'Tax Residency Eligibility'!$B$3:$G$3,0)),"?"))="N",IF(D25="","", IFERROR(INDEX('Tax Residency Eligibility'!$B$4:$G$9,MATCH(D25,'Tax Residency Eligibility'!$A$4:$A$9,0),MATCH($A25,'Tax Residency Eligibility'!$B$3:$G$3,0)),"?"))="N",IF(E25="","", IFERROR(INDEX('Tax Residency Eligibility'!$B$4:$G$9,MATCH(E25,'Tax Residency Eligibility'!$A$4:$A$9,0),MATCH($A25,'Tax Residency Eligibility'!$B$3:$G$3,0)),"?"))="N"),"No",IF(OR(IF(C25="","", IFERROR(INDEX('Tax Residency Eligibility'!$B$4:$G$9,MATCH(C25,'Tax Residency Eligibility'!$A$4:$A$9,0),MATCH($A25,'Tax Residency Eligibility'!$B$3:$G$3,0)),"?"))="Check",IF(D25="","", IFERROR(INDEX('Tax Residency Eligibility'!$B$4:$G$9,MATCH(D25,'Tax Residency Eligibility'!$A$4:$A$9,0),MATCH($A25,'Tax Residency Eligibility'!$B$3:$G$3,0)),"?"))="Check",IF(E25="","", IFERROR(INDEX('Tax Residency Eligibility'!$B$4:$G$9,MATCH(E25,'Tax Residency Eligibility'!$A$4:$A$9,0),MATCH($A25,'Tax Residency Eligibility'!$B$3:$G$3,0)),"?"))="Check"),"Check directly","Yes"))</f>
        <v/>
      </c>
      <c r="G25" s="16">
        <f>IFERROR(VLOOKUP(C25,'Broker Fees'!$A$4:$G$9,7,0),0)+IF(D25="",0,IFERROR(VLOOKUP(D25,'Broker Fees'!$A$4:$G$9,7,0),0))+IF(E25="",0,IFERROR(VLOOKUP(E25,'Broker Fees'!$A$4:$G$9,7,0),0))</f>
        <v/>
      </c>
      <c r="H2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5" s="18">
        <f>VLOOKUP($A25,'Capital Gains Tax'!$A$4:$D$9,2,0)</f>
        <v/>
      </c>
      <c r="J25" s="18">
        <f>VLOOKUP($A25,'Capital Gains Tax'!$A$4:$D$9,3,0)</f>
        <v/>
      </c>
    </row>
    <row r="26" ht="15" customHeight="1">
      <c r="A26" s="9" t="inlineStr">
        <is>
          <t>US</t>
        </is>
      </c>
      <c r="B26" s="9" t="inlineStr">
        <is>
          <t>IBKR+Saxo+Exante</t>
        </is>
      </c>
      <c r="C26" s="15" t="inlineStr">
        <is>
          <t>IBKR</t>
        </is>
      </c>
      <c r="D26" s="15" t="inlineStr">
        <is>
          <t>Saxo</t>
        </is>
      </c>
      <c r="E26" s="15" t="inlineStr">
        <is>
          <t>Exante</t>
        </is>
      </c>
      <c r="F26" s="9">
        <f>IF(OR(IF(C26="","", IFERROR(INDEX('Tax Residency Eligibility'!$B$4:$G$9,MATCH(C26,'Tax Residency Eligibility'!$A$4:$A$9,0),MATCH($A26,'Tax Residency Eligibility'!$B$3:$G$3,0)),"?"))="N",IF(D26="","", IFERROR(INDEX('Tax Residency Eligibility'!$B$4:$G$9,MATCH(D26,'Tax Residency Eligibility'!$A$4:$A$9,0),MATCH($A26,'Tax Residency Eligibility'!$B$3:$G$3,0)),"?"))="N",IF(E26="","", IFERROR(INDEX('Tax Residency Eligibility'!$B$4:$G$9,MATCH(E26,'Tax Residency Eligibility'!$A$4:$A$9,0),MATCH($A26,'Tax Residency Eligibility'!$B$3:$G$3,0)),"?"))="N"),"No",IF(OR(IF(C26="","", IFERROR(INDEX('Tax Residency Eligibility'!$B$4:$G$9,MATCH(C26,'Tax Residency Eligibility'!$A$4:$A$9,0),MATCH($A26,'Tax Residency Eligibility'!$B$3:$G$3,0)),"?"))="Check",IF(D26="","", IFERROR(INDEX('Tax Residency Eligibility'!$B$4:$G$9,MATCH(D26,'Tax Residency Eligibility'!$A$4:$A$9,0),MATCH($A26,'Tax Residency Eligibility'!$B$3:$G$3,0)),"?"))="Check",IF(E26="","", IFERROR(INDEX('Tax Residency Eligibility'!$B$4:$G$9,MATCH(E26,'Tax Residency Eligibility'!$A$4:$A$9,0),MATCH($A26,'Tax Residency Eligibility'!$B$3:$G$3,0)),"?"))="Check"),"Check directly","Yes"))</f>
        <v/>
      </c>
      <c r="G26" s="16">
        <f>IFERROR(VLOOKUP(C26,'Broker Fees'!$A$4:$G$9,7,0),0)+IF(D26="",0,IFERROR(VLOOKUP(D26,'Broker Fees'!$A$4:$G$9,7,0),0))+IF(E26="",0,IFERROR(VLOOKUP(E26,'Broker Fees'!$A$4:$G$9,7,0),0))</f>
        <v/>
      </c>
      <c r="H2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6" s="18">
        <f>VLOOKUP($A26,'Capital Gains Tax'!$A$4:$D$9,2,0)</f>
        <v/>
      </c>
      <c r="J26" s="18">
        <f>VLOOKUP($A26,'Capital Gains Tax'!$A$4:$D$9,3,0)</f>
        <v/>
      </c>
    </row>
    <row r="27" ht="15" customHeight="1">
      <c r="A27" s="9" t="inlineStr">
        <is>
          <t>US</t>
        </is>
      </c>
      <c r="B27" s="9" t="inlineStr">
        <is>
          <t>IBKR+Saxo+Swissquote</t>
        </is>
      </c>
      <c r="C27" s="15" t="inlineStr">
        <is>
          <t>IBKR</t>
        </is>
      </c>
      <c r="D27" s="15" t="inlineStr">
        <is>
          <t>Saxo</t>
        </is>
      </c>
      <c r="E27" s="15" t="inlineStr">
        <is>
          <t>Swissquote</t>
        </is>
      </c>
      <c r="F27" s="9">
        <f>IF(OR(IF(C27="","", IFERROR(INDEX('Tax Residency Eligibility'!$B$4:$G$9,MATCH(C27,'Tax Residency Eligibility'!$A$4:$A$9,0),MATCH($A27,'Tax Residency Eligibility'!$B$3:$G$3,0)),"?"))="N",IF(D27="","", IFERROR(INDEX('Tax Residency Eligibility'!$B$4:$G$9,MATCH(D27,'Tax Residency Eligibility'!$A$4:$A$9,0),MATCH($A27,'Tax Residency Eligibility'!$B$3:$G$3,0)),"?"))="N",IF(E27="","", IFERROR(INDEX('Tax Residency Eligibility'!$B$4:$G$9,MATCH(E27,'Tax Residency Eligibility'!$A$4:$A$9,0),MATCH($A27,'Tax Residency Eligibility'!$B$3:$G$3,0)),"?"))="N"),"No",IF(OR(IF(C27="","", IFERROR(INDEX('Tax Residency Eligibility'!$B$4:$G$9,MATCH(C27,'Tax Residency Eligibility'!$A$4:$A$9,0),MATCH($A27,'Tax Residency Eligibility'!$B$3:$G$3,0)),"?"))="Check",IF(D27="","", IFERROR(INDEX('Tax Residency Eligibility'!$B$4:$G$9,MATCH(D27,'Tax Residency Eligibility'!$A$4:$A$9,0),MATCH($A27,'Tax Residency Eligibility'!$B$3:$G$3,0)),"?"))="Check",IF(E27="","", IFERROR(INDEX('Tax Residency Eligibility'!$B$4:$G$9,MATCH(E27,'Tax Residency Eligibility'!$A$4:$A$9,0),MATCH($A27,'Tax Residency Eligibility'!$B$3:$G$3,0)),"?"))="Check"),"Check directly","Yes"))</f>
        <v/>
      </c>
      <c r="G27" s="16">
        <f>IFERROR(VLOOKUP(C27,'Broker Fees'!$A$4:$G$9,7,0),0)+IF(D27="",0,IFERROR(VLOOKUP(D27,'Broker Fees'!$A$4:$G$9,7,0),0))+IF(E27="",0,IFERROR(VLOOKUP(E27,'Broker Fees'!$A$4:$G$9,7,0),0))</f>
        <v/>
      </c>
      <c r="H2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7" s="18">
        <f>VLOOKUP($A27,'Capital Gains Tax'!$A$4:$D$9,2,0)</f>
        <v/>
      </c>
      <c r="J27" s="18">
        <f>VLOOKUP($A27,'Capital Gains Tax'!$A$4:$D$9,3,0)</f>
        <v/>
      </c>
    </row>
    <row r="28" ht="15" customHeight="1">
      <c r="A28" s="9" t="inlineStr">
        <is>
          <t>US</t>
        </is>
      </c>
      <c r="B28" s="9" t="inlineStr">
        <is>
          <t>IBKR+Saxo+XTB</t>
        </is>
      </c>
      <c r="C28" s="15" t="inlineStr">
        <is>
          <t>IBKR</t>
        </is>
      </c>
      <c r="D28" s="15" t="inlineStr">
        <is>
          <t>Saxo</t>
        </is>
      </c>
      <c r="E28" s="15" t="inlineStr">
        <is>
          <t>XTB</t>
        </is>
      </c>
      <c r="F28" s="9">
        <f>IF(OR(IF(C28="","", IFERROR(INDEX('Tax Residency Eligibility'!$B$4:$G$9,MATCH(C28,'Tax Residency Eligibility'!$A$4:$A$9,0),MATCH($A28,'Tax Residency Eligibility'!$B$3:$G$3,0)),"?"))="N",IF(D28="","", IFERROR(INDEX('Tax Residency Eligibility'!$B$4:$G$9,MATCH(D28,'Tax Residency Eligibility'!$A$4:$A$9,0),MATCH($A28,'Tax Residency Eligibility'!$B$3:$G$3,0)),"?"))="N",IF(E28="","", IFERROR(INDEX('Tax Residency Eligibility'!$B$4:$G$9,MATCH(E28,'Tax Residency Eligibility'!$A$4:$A$9,0),MATCH($A28,'Tax Residency Eligibility'!$B$3:$G$3,0)),"?"))="N"),"No",IF(OR(IF(C28="","", IFERROR(INDEX('Tax Residency Eligibility'!$B$4:$G$9,MATCH(C28,'Tax Residency Eligibility'!$A$4:$A$9,0),MATCH($A28,'Tax Residency Eligibility'!$B$3:$G$3,0)),"?"))="Check",IF(D28="","", IFERROR(INDEX('Tax Residency Eligibility'!$B$4:$G$9,MATCH(D28,'Tax Residency Eligibility'!$A$4:$A$9,0),MATCH($A28,'Tax Residency Eligibility'!$B$3:$G$3,0)),"?"))="Check",IF(E28="","", IFERROR(INDEX('Tax Residency Eligibility'!$B$4:$G$9,MATCH(E28,'Tax Residency Eligibility'!$A$4:$A$9,0),MATCH($A28,'Tax Residency Eligibility'!$B$3:$G$3,0)),"?"))="Check"),"Check directly","Yes"))</f>
        <v/>
      </c>
      <c r="G28" s="16">
        <f>IFERROR(VLOOKUP(C28,'Broker Fees'!$A$4:$G$9,7,0),0)+IF(D28="",0,IFERROR(VLOOKUP(D28,'Broker Fees'!$A$4:$G$9,7,0),0))+IF(E28="",0,IFERROR(VLOOKUP(E28,'Broker Fees'!$A$4:$G$9,7,0),0))</f>
        <v/>
      </c>
      <c r="H2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8" s="18">
        <f>VLOOKUP($A28,'Capital Gains Tax'!$A$4:$D$9,2,0)</f>
        <v/>
      </c>
      <c r="J28" s="18">
        <f>VLOOKUP($A28,'Capital Gains Tax'!$A$4:$D$9,3,0)</f>
        <v/>
      </c>
    </row>
    <row r="29" ht="15" customHeight="1">
      <c r="A29" s="9" t="inlineStr">
        <is>
          <t>US</t>
        </is>
      </c>
      <c r="B29" s="9" t="inlineStr">
        <is>
          <t>IBKR+Wio+Exante</t>
        </is>
      </c>
      <c r="C29" s="15" t="inlineStr">
        <is>
          <t>IBKR</t>
        </is>
      </c>
      <c r="D29" s="15" t="inlineStr">
        <is>
          <t>Wio</t>
        </is>
      </c>
      <c r="E29" s="15" t="inlineStr">
        <is>
          <t>Exante</t>
        </is>
      </c>
      <c r="F29" s="9">
        <f>IF(OR(IF(C29="","", IFERROR(INDEX('Tax Residency Eligibility'!$B$4:$G$9,MATCH(C29,'Tax Residency Eligibility'!$A$4:$A$9,0),MATCH($A29,'Tax Residency Eligibility'!$B$3:$G$3,0)),"?"))="N",IF(D29="","", IFERROR(INDEX('Tax Residency Eligibility'!$B$4:$G$9,MATCH(D29,'Tax Residency Eligibility'!$A$4:$A$9,0),MATCH($A29,'Tax Residency Eligibility'!$B$3:$G$3,0)),"?"))="N",IF(E29="","", IFERROR(INDEX('Tax Residency Eligibility'!$B$4:$G$9,MATCH(E29,'Tax Residency Eligibility'!$A$4:$A$9,0),MATCH($A29,'Tax Residency Eligibility'!$B$3:$G$3,0)),"?"))="N"),"No",IF(OR(IF(C29="","", IFERROR(INDEX('Tax Residency Eligibility'!$B$4:$G$9,MATCH(C29,'Tax Residency Eligibility'!$A$4:$A$9,0),MATCH($A29,'Tax Residency Eligibility'!$B$3:$G$3,0)),"?"))="Check",IF(D29="","", IFERROR(INDEX('Tax Residency Eligibility'!$B$4:$G$9,MATCH(D29,'Tax Residency Eligibility'!$A$4:$A$9,0),MATCH($A29,'Tax Residency Eligibility'!$B$3:$G$3,0)),"?"))="Check",IF(E29="","", IFERROR(INDEX('Tax Residency Eligibility'!$B$4:$G$9,MATCH(E29,'Tax Residency Eligibility'!$A$4:$A$9,0),MATCH($A29,'Tax Residency Eligibility'!$B$3:$G$3,0)),"?"))="Check"),"Check directly","Yes"))</f>
        <v/>
      </c>
      <c r="G29" s="16">
        <f>IFERROR(VLOOKUP(C29,'Broker Fees'!$A$4:$G$9,7,0),0)+IF(D29="",0,IFERROR(VLOOKUP(D29,'Broker Fees'!$A$4:$G$9,7,0),0))+IF(E29="",0,IFERROR(VLOOKUP(E29,'Broker Fees'!$A$4:$G$9,7,0),0))</f>
        <v/>
      </c>
      <c r="H2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9" s="18">
        <f>VLOOKUP($A29,'Capital Gains Tax'!$A$4:$D$9,2,0)</f>
        <v/>
      </c>
      <c r="J29" s="18">
        <f>VLOOKUP($A29,'Capital Gains Tax'!$A$4:$D$9,3,0)</f>
        <v/>
      </c>
    </row>
    <row r="30" ht="15" customHeight="1">
      <c r="A30" s="9" t="inlineStr">
        <is>
          <t>US</t>
        </is>
      </c>
      <c r="B30" s="9" t="inlineStr">
        <is>
          <t>IBKR+Wio+Swissquote</t>
        </is>
      </c>
      <c r="C30" s="15" t="inlineStr">
        <is>
          <t>IBKR</t>
        </is>
      </c>
      <c r="D30" s="15" t="inlineStr">
        <is>
          <t>Wio</t>
        </is>
      </c>
      <c r="E30" s="15" t="inlineStr">
        <is>
          <t>Swissquote</t>
        </is>
      </c>
      <c r="F30" s="9">
        <f>IF(OR(IF(C30="","", IFERROR(INDEX('Tax Residency Eligibility'!$B$4:$G$9,MATCH(C30,'Tax Residency Eligibility'!$A$4:$A$9,0),MATCH($A30,'Tax Residency Eligibility'!$B$3:$G$3,0)),"?"))="N",IF(D30="","", IFERROR(INDEX('Tax Residency Eligibility'!$B$4:$G$9,MATCH(D30,'Tax Residency Eligibility'!$A$4:$A$9,0),MATCH($A30,'Tax Residency Eligibility'!$B$3:$G$3,0)),"?"))="N",IF(E30="","", IFERROR(INDEX('Tax Residency Eligibility'!$B$4:$G$9,MATCH(E30,'Tax Residency Eligibility'!$A$4:$A$9,0),MATCH($A30,'Tax Residency Eligibility'!$B$3:$G$3,0)),"?"))="N"),"No",IF(OR(IF(C30="","", IFERROR(INDEX('Tax Residency Eligibility'!$B$4:$G$9,MATCH(C30,'Tax Residency Eligibility'!$A$4:$A$9,0),MATCH($A30,'Tax Residency Eligibility'!$B$3:$G$3,0)),"?"))="Check",IF(D30="","", IFERROR(INDEX('Tax Residency Eligibility'!$B$4:$G$9,MATCH(D30,'Tax Residency Eligibility'!$A$4:$A$9,0),MATCH($A30,'Tax Residency Eligibility'!$B$3:$G$3,0)),"?"))="Check",IF(E30="","", IFERROR(INDEX('Tax Residency Eligibility'!$B$4:$G$9,MATCH(E30,'Tax Residency Eligibility'!$A$4:$A$9,0),MATCH($A30,'Tax Residency Eligibility'!$B$3:$G$3,0)),"?"))="Check"),"Check directly","Yes"))</f>
        <v/>
      </c>
      <c r="G30" s="16">
        <f>IFERROR(VLOOKUP(C30,'Broker Fees'!$A$4:$G$9,7,0),0)+IF(D30="",0,IFERROR(VLOOKUP(D30,'Broker Fees'!$A$4:$G$9,7,0),0))+IF(E30="",0,IFERROR(VLOOKUP(E30,'Broker Fees'!$A$4:$G$9,7,0),0))</f>
        <v/>
      </c>
      <c r="H3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0" s="18">
        <f>VLOOKUP($A30,'Capital Gains Tax'!$A$4:$D$9,2,0)</f>
        <v/>
      </c>
      <c r="J30" s="18">
        <f>VLOOKUP($A30,'Capital Gains Tax'!$A$4:$D$9,3,0)</f>
        <v/>
      </c>
    </row>
    <row r="31" ht="15" customHeight="1">
      <c r="A31" s="9" t="inlineStr">
        <is>
          <t>US</t>
        </is>
      </c>
      <c r="B31" s="9" t="inlineStr">
        <is>
          <t>IBKR+Wio+XTB</t>
        </is>
      </c>
      <c r="C31" s="15" t="inlineStr">
        <is>
          <t>IBKR</t>
        </is>
      </c>
      <c r="D31" s="15" t="inlineStr">
        <is>
          <t>Wio</t>
        </is>
      </c>
      <c r="E31" s="15" t="inlineStr">
        <is>
          <t>XTB</t>
        </is>
      </c>
      <c r="F31" s="9">
        <f>IF(OR(IF(C31="","", IFERROR(INDEX('Tax Residency Eligibility'!$B$4:$G$9,MATCH(C31,'Tax Residency Eligibility'!$A$4:$A$9,0),MATCH($A31,'Tax Residency Eligibility'!$B$3:$G$3,0)),"?"))="N",IF(D31="","", IFERROR(INDEX('Tax Residency Eligibility'!$B$4:$G$9,MATCH(D31,'Tax Residency Eligibility'!$A$4:$A$9,0),MATCH($A31,'Tax Residency Eligibility'!$B$3:$G$3,0)),"?"))="N",IF(E31="","", IFERROR(INDEX('Tax Residency Eligibility'!$B$4:$G$9,MATCH(E31,'Tax Residency Eligibility'!$A$4:$A$9,0),MATCH($A31,'Tax Residency Eligibility'!$B$3:$G$3,0)),"?"))="N"),"No",IF(OR(IF(C31="","", IFERROR(INDEX('Tax Residency Eligibility'!$B$4:$G$9,MATCH(C31,'Tax Residency Eligibility'!$A$4:$A$9,0),MATCH($A31,'Tax Residency Eligibility'!$B$3:$G$3,0)),"?"))="Check",IF(D31="","", IFERROR(INDEX('Tax Residency Eligibility'!$B$4:$G$9,MATCH(D31,'Tax Residency Eligibility'!$A$4:$A$9,0),MATCH($A31,'Tax Residency Eligibility'!$B$3:$G$3,0)),"?"))="Check",IF(E31="","", IFERROR(INDEX('Tax Residency Eligibility'!$B$4:$G$9,MATCH(E31,'Tax Residency Eligibility'!$A$4:$A$9,0),MATCH($A31,'Tax Residency Eligibility'!$B$3:$G$3,0)),"?"))="Check"),"Check directly","Yes"))</f>
        <v/>
      </c>
      <c r="G31" s="16">
        <f>IFERROR(VLOOKUP(C31,'Broker Fees'!$A$4:$G$9,7,0),0)+IF(D31="",0,IFERROR(VLOOKUP(D31,'Broker Fees'!$A$4:$G$9,7,0),0))+IF(E31="",0,IFERROR(VLOOKUP(E31,'Broker Fees'!$A$4:$G$9,7,0),0))</f>
        <v/>
      </c>
      <c r="H3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1" s="18">
        <f>VLOOKUP($A31,'Capital Gains Tax'!$A$4:$D$9,2,0)</f>
        <v/>
      </c>
      <c r="J31" s="18">
        <f>VLOOKUP($A31,'Capital Gains Tax'!$A$4:$D$9,3,0)</f>
        <v/>
      </c>
    </row>
    <row r="32" ht="15" customHeight="1">
      <c r="A32" s="9" t="inlineStr">
        <is>
          <t>US</t>
        </is>
      </c>
      <c r="B32" s="9" t="inlineStr">
        <is>
          <t>IBKR+Exante+Swissquote</t>
        </is>
      </c>
      <c r="C32" s="15" t="inlineStr">
        <is>
          <t>IBKR</t>
        </is>
      </c>
      <c r="D32" s="15" t="inlineStr">
        <is>
          <t>Exante</t>
        </is>
      </c>
      <c r="E32" s="15" t="inlineStr">
        <is>
          <t>Swissquote</t>
        </is>
      </c>
      <c r="F32" s="9">
        <f>IF(OR(IF(C32="","", IFERROR(INDEX('Tax Residency Eligibility'!$B$4:$G$9,MATCH(C32,'Tax Residency Eligibility'!$A$4:$A$9,0),MATCH($A32,'Tax Residency Eligibility'!$B$3:$G$3,0)),"?"))="N",IF(D32="","", IFERROR(INDEX('Tax Residency Eligibility'!$B$4:$G$9,MATCH(D32,'Tax Residency Eligibility'!$A$4:$A$9,0),MATCH($A32,'Tax Residency Eligibility'!$B$3:$G$3,0)),"?"))="N",IF(E32="","", IFERROR(INDEX('Tax Residency Eligibility'!$B$4:$G$9,MATCH(E32,'Tax Residency Eligibility'!$A$4:$A$9,0),MATCH($A32,'Tax Residency Eligibility'!$B$3:$G$3,0)),"?"))="N"),"No",IF(OR(IF(C32="","", IFERROR(INDEX('Tax Residency Eligibility'!$B$4:$G$9,MATCH(C32,'Tax Residency Eligibility'!$A$4:$A$9,0),MATCH($A32,'Tax Residency Eligibility'!$B$3:$G$3,0)),"?"))="Check",IF(D32="","", IFERROR(INDEX('Tax Residency Eligibility'!$B$4:$G$9,MATCH(D32,'Tax Residency Eligibility'!$A$4:$A$9,0),MATCH($A32,'Tax Residency Eligibility'!$B$3:$G$3,0)),"?"))="Check",IF(E32="","", IFERROR(INDEX('Tax Residency Eligibility'!$B$4:$G$9,MATCH(E32,'Tax Residency Eligibility'!$A$4:$A$9,0),MATCH($A32,'Tax Residency Eligibility'!$B$3:$G$3,0)),"?"))="Check"),"Check directly","Yes"))</f>
        <v/>
      </c>
      <c r="G32" s="16">
        <f>IFERROR(VLOOKUP(C32,'Broker Fees'!$A$4:$G$9,7,0),0)+IF(D32="",0,IFERROR(VLOOKUP(D32,'Broker Fees'!$A$4:$G$9,7,0),0))+IF(E32="",0,IFERROR(VLOOKUP(E32,'Broker Fees'!$A$4:$G$9,7,0),0))</f>
        <v/>
      </c>
      <c r="H3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2" s="18">
        <f>VLOOKUP($A32,'Capital Gains Tax'!$A$4:$D$9,2,0)</f>
        <v/>
      </c>
      <c r="J32" s="18">
        <f>VLOOKUP($A32,'Capital Gains Tax'!$A$4:$D$9,3,0)</f>
        <v/>
      </c>
    </row>
    <row r="33" ht="15" customHeight="1">
      <c r="A33" s="9" t="inlineStr">
        <is>
          <t>US</t>
        </is>
      </c>
      <c r="B33" s="9" t="inlineStr">
        <is>
          <t>IBKR+Exante+XTB</t>
        </is>
      </c>
      <c r="C33" s="15" t="inlineStr">
        <is>
          <t>IBKR</t>
        </is>
      </c>
      <c r="D33" s="15" t="inlineStr">
        <is>
          <t>Exante</t>
        </is>
      </c>
      <c r="E33" s="15" t="inlineStr">
        <is>
          <t>XTB</t>
        </is>
      </c>
      <c r="F33" s="9">
        <f>IF(OR(IF(C33="","", IFERROR(INDEX('Tax Residency Eligibility'!$B$4:$G$9,MATCH(C33,'Tax Residency Eligibility'!$A$4:$A$9,0),MATCH($A33,'Tax Residency Eligibility'!$B$3:$G$3,0)),"?"))="N",IF(D33="","", IFERROR(INDEX('Tax Residency Eligibility'!$B$4:$G$9,MATCH(D33,'Tax Residency Eligibility'!$A$4:$A$9,0),MATCH($A33,'Tax Residency Eligibility'!$B$3:$G$3,0)),"?"))="N",IF(E33="","", IFERROR(INDEX('Tax Residency Eligibility'!$B$4:$G$9,MATCH(E33,'Tax Residency Eligibility'!$A$4:$A$9,0),MATCH($A33,'Tax Residency Eligibility'!$B$3:$G$3,0)),"?"))="N"),"No",IF(OR(IF(C33="","", IFERROR(INDEX('Tax Residency Eligibility'!$B$4:$G$9,MATCH(C33,'Tax Residency Eligibility'!$A$4:$A$9,0),MATCH($A33,'Tax Residency Eligibility'!$B$3:$G$3,0)),"?"))="Check",IF(D33="","", IFERROR(INDEX('Tax Residency Eligibility'!$B$4:$G$9,MATCH(D33,'Tax Residency Eligibility'!$A$4:$A$9,0),MATCH($A33,'Tax Residency Eligibility'!$B$3:$G$3,0)),"?"))="Check",IF(E33="","", IFERROR(INDEX('Tax Residency Eligibility'!$B$4:$G$9,MATCH(E33,'Tax Residency Eligibility'!$A$4:$A$9,0),MATCH($A33,'Tax Residency Eligibility'!$B$3:$G$3,0)),"?"))="Check"),"Check directly","Yes"))</f>
        <v/>
      </c>
      <c r="G33" s="16">
        <f>IFERROR(VLOOKUP(C33,'Broker Fees'!$A$4:$G$9,7,0),0)+IF(D33="",0,IFERROR(VLOOKUP(D33,'Broker Fees'!$A$4:$G$9,7,0),0))+IF(E33="",0,IFERROR(VLOOKUP(E33,'Broker Fees'!$A$4:$G$9,7,0),0))</f>
        <v/>
      </c>
      <c r="H3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3" s="18">
        <f>VLOOKUP($A33,'Capital Gains Tax'!$A$4:$D$9,2,0)</f>
        <v/>
      </c>
      <c r="J33" s="18">
        <f>VLOOKUP($A33,'Capital Gains Tax'!$A$4:$D$9,3,0)</f>
        <v/>
      </c>
    </row>
    <row r="34" ht="15" customHeight="1">
      <c r="A34" s="9" t="inlineStr">
        <is>
          <t>US</t>
        </is>
      </c>
      <c r="B34" s="9" t="inlineStr">
        <is>
          <t>IBKR+Swissquote+XTB</t>
        </is>
      </c>
      <c r="C34" s="15" t="inlineStr">
        <is>
          <t>IBKR</t>
        </is>
      </c>
      <c r="D34" s="15" t="inlineStr">
        <is>
          <t>Swissquote</t>
        </is>
      </c>
      <c r="E34" s="15" t="inlineStr">
        <is>
          <t>XTB</t>
        </is>
      </c>
      <c r="F34" s="9">
        <f>IF(OR(IF(C34="","", IFERROR(INDEX('Tax Residency Eligibility'!$B$4:$G$9,MATCH(C34,'Tax Residency Eligibility'!$A$4:$A$9,0),MATCH($A34,'Tax Residency Eligibility'!$B$3:$G$3,0)),"?"))="N",IF(D34="","", IFERROR(INDEX('Tax Residency Eligibility'!$B$4:$G$9,MATCH(D34,'Tax Residency Eligibility'!$A$4:$A$9,0),MATCH($A34,'Tax Residency Eligibility'!$B$3:$G$3,0)),"?"))="N",IF(E34="","", IFERROR(INDEX('Tax Residency Eligibility'!$B$4:$G$9,MATCH(E34,'Tax Residency Eligibility'!$A$4:$A$9,0),MATCH($A34,'Tax Residency Eligibility'!$B$3:$G$3,0)),"?"))="N"),"No",IF(OR(IF(C34="","", IFERROR(INDEX('Tax Residency Eligibility'!$B$4:$G$9,MATCH(C34,'Tax Residency Eligibility'!$A$4:$A$9,0),MATCH($A34,'Tax Residency Eligibility'!$B$3:$G$3,0)),"?"))="Check",IF(D34="","", IFERROR(INDEX('Tax Residency Eligibility'!$B$4:$G$9,MATCH(D34,'Tax Residency Eligibility'!$A$4:$A$9,0),MATCH($A34,'Tax Residency Eligibility'!$B$3:$G$3,0)),"?"))="Check",IF(E34="","", IFERROR(INDEX('Tax Residency Eligibility'!$B$4:$G$9,MATCH(E34,'Tax Residency Eligibility'!$A$4:$A$9,0),MATCH($A34,'Tax Residency Eligibility'!$B$3:$G$3,0)),"?"))="Check"),"Check directly","Yes"))</f>
        <v/>
      </c>
      <c r="G34" s="16">
        <f>IFERROR(VLOOKUP(C34,'Broker Fees'!$A$4:$G$9,7,0),0)+IF(D34="",0,IFERROR(VLOOKUP(D34,'Broker Fees'!$A$4:$G$9,7,0),0))+IF(E34="",0,IFERROR(VLOOKUP(E34,'Broker Fees'!$A$4:$G$9,7,0),0))</f>
        <v/>
      </c>
      <c r="H3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4" s="18">
        <f>VLOOKUP($A34,'Capital Gains Tax'!$A$4:$D$9,2,0)</f>
        <v/>
      </c>
      <c r="J34" s="18">
        <f>VLOOKUP($A34,'Capital Gains Tax'!$A$4:$D$9,3,0)</f>
        <v/>
      </c>
    </row>
    <row r="35" ht="15" customHeight="1">
      <c r="A35" s="9" t="inlineStr">
        <is>
          <t>US</t>
        </is>
      </c>
      <c r="B35" s="9" t="inlineStr">
        <is>
          <t>Saxo+Wio+Exante</t>
        </is>
      </c>
      <c r="C35" s="15" t="inlineStr">
        <is>
          <t>Saxo</t>
        </is>
      </c>
      <c r="D35" s="15" t="inlineStr">
        <is>
          <t>Wio</t>
        </is>
      </c>
      <c r="E35" s="15" t="inlineStr">
        <is>
          <t>Exante</t>
        </is>
      </c>
      <c r="F35" s="9">
        <f>IF(OR(IF(C35="","", IFERROR(INDEX('Tax Residency Eligibility'!$B$4:$G$9,MATCH(C35,'Tax Residency Eligibility'!$A$4:$A$9,0),MATCH($A35,'Tax Residency Eligibility'!$B$3:$G$3,0)),"?"))="N",IF(D35="","", IFERROR(INDEX('Tax Residency Eligibility'!$B$4:$G$9,MATCH(D35,'Tax Residency Eligibility'!$A$4:$A$9,0),MATCH($A35,'Tax Residency Eligibility'!$B$3:$G$3,0)),"?"))="N",IF(E35="","", IFERROR(INDEX('Tax Residency Eligibility'!$B$4:$G$9,MATCH(E35,'Tax Residency Eligibility'!$A$4:$A$9,0),MATCH($A35,'Tax Residency Eligibility'!$B$3:$G$3,0)),"?"))="N"),"No",IF(OR(IF(C35="","", IFERROR(INDEX('Tax Residency Eligibility'!$B$4:$G$9,MATCH(C35,'Tax Residency Eligibility'!$A$4:$A$9,0),MATCH($A35,'Tax Residency Eligibility'!$B$3:$G$3,0)),"?"))="Check",IF(D35="","", IFERROR(INDEX('Tax Residency Eligibility'!$B$4:$G$9,MATCH(D35,'Tax Residency Eligibility'!$A$4:$A$9,0),MATCH($A35,'Tax Residency Eligibility'!$B$3:$G$3,0)),"?"))="Check",IF(E35="","", IFERROR(INDEX('Tax Residency Eligibility'!$B$4:$G$9,MATCH(E35,'Tax Residency Eligibility'!$A$4:$A$9,0),MATCH($A35,'Tax Residency Eligibility'!$B$3:$G$3,0)),"?"))="Check"),"Check directly","Yes"))</f>
        <v/>
      </c>
      <c r="G35" s="16">
        <f>IFERROR(VLOOKUP(C35,'Broker Fees'!$A$4:$G$9,7,0),0)+IF(D35="",0,IFERROR(VLOOKUP(D35,'Broker Fees'!$A$4:$G$9,7,0),0))+IF(E35="",0,IFERROR(VLOOKUP(E35,'Broker Fees'!$A$4:$G$9,7,0),0))</f>
        <v/>
      </c>
      <c r="H3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5" s="18">
        <f>VLOOKUP($A35,'Capital Gains Tax'!$A$4:$D$9,2,0)</f>
        <v/>
      </c>
      <c r="J35" s="18">
        <f>VLOOKUP($A35,'Capital Gains Tax'!$A$4:$D$9,3,0)</f>
        <v/>
      </c>
    </row>
    <row r="36" ht="15" customHeight="1">
      <c r="A36" s="9" t="inlineStr">
        <is>
          <t>US</t>
        </is>
      </c>
      <c r="B36" s="9" t="inlineStr">
        <is>
          <t>Saxo+Wio+Swissquote</t>
        </is>
      </c>
      <c r="C36" s="15" t="inlineStr">
        <is>
          <t>Saxo</t>
        </is>
      </c>
      <c r="D36" s="15" t="inlineStr">
        <is>
          <t>Wio</t>
        </is>
      </c>
      <c r="E36" s="15" t="inlineStr">
        <is>
          <t>Swissquote</t>
        </is>
      </c>
      <c r="F36" s="9">
        <f>IF(OR(IF(C36="","", IFERROR(INDEX('Tax Residency Eligibility'!$B$4:$G$9,MATCH(C36,'Tax Residency Eligibility'!$A$4:$A$9,0),MATCH($A36,'Tax Residency Eligibility'!$B$3:$G$3,0)),"?"))="N",IF(D36="","", IFERROR(INDEX('Tax Residency Eligibility'!$B$4:$G$9,MATCH(D36,'Tax Residency Eligibility'!$A$4:$A$9,0),MATCH($A36,'Tax Residency Eligibility'!$B$3:$G$3,0)),"?"))="N",IF(E36="","", IFERROR(INDEX('Tax Residency Eligibility'!$B$4:$G$9,MATCH(E36,'Tax Residency Eligibility'!$A$4:$A$9,0),MATCH($A36,'Tax Residency Eligibility'!$B$3:$G$3,0)),"?"))="N"),"No",IF(OR(IF(C36="","", IFERROR(INDEX('Tax Residency Eligibility'!$B$4:$G$9,MATCH(C36,'Tax Residency Eligibility'!$A$4:$A$9,0),MATCH($A36,'Tax Residency Eligibility'!$B$3:$G$3,0)),"?"))="Check",IF(D36="","", IFERROR(INDEX('Tax Residency Eligibility'!$B$4:$G$9,MATCH(D36,'Tax Residency Eligibility'!$A$4:$A$9,0),MATCH($A36,'Tax Residency Eligibility'!$B$3:$G$3,0)),"?"))="Check",IF(E36="","", IFERROR(INDEX('Tax Residency Eligibility'!$B$4:$G$9,MATCH(E36,'Tax Residency Eligibility'!$A$4:$A$9,0),MATCH($A36,'Tax Residency Eligibility'!$B$3:$G$3,0)),"?"))="Check"),"Check directly","Yes"))</f>
        <v/>
      </c>
      <c r="G36" s="16">
        <f>IFERROR(VLOOKUP(C36,'Broker Fees'!$A$4:$G$9,7,0),0)+IF(D36="",0,IFERROR(VLOOKUP(D36,'Broker Fees'!$A$4:$G$9,7,0),0))+IF(E36="",0,IFERROR(VLOOKUP(E36,'Broker Fees'!$A$4:$G$9,7,0),0))</f>
        <v/>
      </c>
      <c r="H3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6" s="18">
        <f>VLOOKUP($A36,'Capital Gains Tax'!$A$4:$D$9,2,0)</f>
        <v/>
      </c>
      <c r="J36" s="18">
        <f>VLOOKUP($A36,'Capital Gains Tax'!$A$4:$D$9,3,0)</f>
        <v/>
      </c>
    </row>
    <row r="37" ht="15" customHeight="1">
      <c r="A37" s="9" t="inlineStr">
        <is>
          <t>US</t>
        </is>
      </c>
      <c r="B37" s="9" t="inlineStr">
        <is>
          <t>Saxo+Wio+XTB</t>
        </is>
      </c>
      <c r="C37" s="15" t="inlineStr">
        <is>
          <t>Saxo</t>
        </is>
      </c>
      <c r="D37" s="15" t="inlineStr">
        <is>
          <t>Wio</t>
        </is>
      </c>
      <c r="E37" s="15" t="inlineStr">
        <is>
          <t>XTB</t>
        </is>
      </c>
      <c r="F37" s="9">
        <f>IF(OR(IF(C37="","", IFERROR(INDEX('Tax Residency Eligibility'!$B$4:$G$9,MATCH(C37,'Tax Residency Eligibility'!$A$4:$A$9,0),MATCH($A37,'Tax Residency Eligibility'!$B$3:$G$3,0)),"?"))="N",IF(D37="","", IFERROR(INDEX('Tax Residency Eligibility'!$B$4:$G$9,MATCH(D37,'Tax Residency Eligibility'!$A$4:$A$9,0),MATCH($A37,'Tax Residency Eligibility'!$B$3:$G$3,0)),"?"))="N",IF(E37="","", IFERROR(INDEX('Tax Residency Eligibility'!$B$4:$G$9,MATCH(E37,'Tax Residency Eligibility'!$A$4:$A$9,0),MATCH($A37,'Tax Residency Eligibility'!$B$3:$G$3,0)),"?"))="N"),"No",IF(OR(IF(C37="","", IFERROR(INDEX('Tax Residency Eligibility'!$B$4:$G$9,MATCH(C37,'Tax Residency Eligibility'!$A$4:$A$9,0),MATCH($A37,'Tax Residency Eligibility'!$B$3:$G$3,0)),"?"))="Check",IF(D37="","", IFERROR(INDEX('Tax Residency Eligibility'!$B$4:$G$9,MATCH(D37,'Tax Residency Eligibility'!$A$4:$A$9,0),MATCH($A37,'Tax Residency Eligibility'!$B$3:$G$3,0)),"?"))="Check",IF(E37="","", IFERROR(INDEX('Tax Residency Eligibility'!$B$4:$G$9,MATCH(E37,'Tax Residency Eligibility'!$A$4:$A$9,0),MATCH($A37,'Tax Residency Eligibility'!$B$3:$G$3,0)),"?"))="Check"),"Check directly","Yes"))</f>
        <v/>
      </c>
      <c r="G37" s="16">
        <f>IFERROR(VLOOKUP(C37,'Broker Fees'!$A$4:$G$9,7,0),0)+IF(D37="",0,IFERROR(VLOOKUP(D37,'Broker Fees'!$A$4:$G$9,7,0),0))+IF(E37="",0,IFERROR(VLOOKUP(E37,'Broker Fees'!$A$4:$G$9,7,0),0))</f>
        <v/>
      </c>
      <c r="H3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7" s="18">
        <f>VLOOKUP($A37,'Capital Gains Tax'!$A$4:$D$9,2,0)</f>
        <v/>
      </c>
      <c r="J37" s="18">
        <f>VLOOKUP($A37,'Capital Gains Tax'!$A$4:$D$9,3,0)</f>
        <v/>
      </c>
    </row>
    <row r="38" ht="15" customHeight="1">
      <c r="A38" s="9" t="inlineStr">
        <is>
          <t>US</t>
        </is>
      </c>
      <c r="B38" s="9" t="inlineStr">
        <is>
          <t>Saxo+Exante+Swissquote</t>
        </is>
      </c>
      <c r="C38" s="15" t="inlineStr">
        <is>
          <t>Saxo</t>
        </is>
      </c>
      <c r="D38" s="15" t="inlineStr">
        <is>
          <t>Exante</t>
        </is>
      </c>
      <c r="E38" s="15" t="inlineStr">
        <is>
          <t>Swissquote</t>
        </is>
      </c>
      <c r="F38" s="9">
        <f>IF(OR(IF(C38="","", IFERROR(INDEX('Tax Residency Eligibility'!$B$4:$G$9,MATCH(C38,'Tax Residency Eligibility'!$A$4:$A$9,0),MATCH($A38,'Tax Residency Eligibility'!$B$3:$G$3,0)),"?"))="N",IF(D38="","", IFERROR(INDEX('Tax Residency Eligibility'!$B$4:$G$9,MATCH(D38,'Tax Residency Eligibility'!$A$4:$A$9,0),MATCH($A38,'Tax Residency Eligibility'!$B$3:$G$3,0)),"?"))="N",IF(E38="","", IFERROR(INDEX('Tax Residency Eligibility'!$B$4:$G$9,MATCH(E38,'Tax Residency Eligibility'!$A$4:$A$9,0),MATCH($A38,'Tax Residency Eligibility'!$B$3:$G$3,0)),"?"))="N"),"No",IF(OR(IF(C38="","", IFERROR(INDEX('Tax Residency Eligibility'!$B$4:$G$9,MATCH(C38,'Tax Residency Eligibility'!$A$4:$A$9,0),MATCH($A38,'Tax Residency Eligibility'!$B$3:$G$3,0)),"?"))="Check",IF(D38="","", IFERROR(INDEX('Tax Residency Eligibility'!$B$4:$G$9,MATCH(D38,'Tax Residency Eligibility'!$A$4:$A$9,0),MATCH($A38,'Tax Residency Eligibility'!$B$3:$G$3,0)),"?"))="Check",IF(E38="","", IFERROR(INDEX('Tax Residency Eligibility'!$B$4:$G$9,MATCH(E38,'Tax Residency Eligibility'!$A$4:$A$9,0),MATCH($A38,'Tax Residency Eligibility'!$B$3:$G$3,0)),"?"))="Check"),"Check directly","Yes"))</f>
        <v/>
      </c>
      <c r="G38" s="16">
        <f>IFERROR(VLOOKUP(C38,'Broker Fees'!$A$4:$G$9,7,0),0)+IF(D38="",0,IFERROR(VLOOKUP(D38,'Broker Fees'!$A$4:$G$9,7,0),0))+IF(E38="",0,IFERROR(VLOOKUP(E38,'Broker Fees'!$A$4:$G$9,7,0),0))</f>
        <v/>
      </c>
      <c r="H3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8" s="18">
        <f>VLOOKUP($A38,'Capital Gains Tax'!$A$4:$D$9,2,0)</f>
        <v/>
      </c>
      <c r="J38" s="18">
        <f>VLOOKUP($A38,'Capital Gains Tax'!$A$4:$D$9,3,0)</f>
        <v/>
      </c>
    </row>
    <row r="39" ht="15" customHeight="1">
      <c r="A39" s="9" t="inlineStr">
        <is>
          <t>US</t>
        </is>
      </c>
      <c r="B39" s="9" t="inlineStr">
        <is>
          <t>Saxo+Exante+XTB</t>
        </is>
      </c>
      <c r="C39" s="15" t="inlineStr">
        <is>
          <t>Saxo</t>
        </is>
      </c>
      <c r="D39" s="15" t="inlineStr">
        <is>
          <t>Exante</t>
        </is>
      </c>
      <c r="E39" s="15" t="inlineStr">
        <is>
          <t>XTB</t>
        </is>
      </c>
      <c r="F39" s="9">
        <f>IF(OR(IF(C39="","", IFERROR(INDEX('Tax Residency Eligibility'!$B$4:$G$9,MATCH(C39,'Tax Residency Eligibility'!$A$4:$A$9,0),MATCH($A39,'Tax Residency Eligibility'!$B$3:$G$3,0)),"?"))="N",IF(D39="","", IFERROR(INDEX('Tax Residency Eligibility'!$B$4:$G$9,MATCH(D39,'Tax Residency Eligibility'!$A$4:$A$9,0),MATCH($A39,'Tax Residency Eligibility'!$B$3:$G$3,0)),"?"))="N",IF(E39="","", IFERROR(INDEX('Tax Residency Eligibility'!$B$4:$G$9,MATCH(E39,'Tax Residency Eligibility'!$A$4:$A$9,0),MATCH($A39,'Tax Residency Eligibility'!$B$3:$G$3,0)),"?"))="N"),"No",IF(OR(IF(C39="","", IFERROR(INDEX('Tax Residency Eligibility'!$B$4:$G$9,MATCH(C39,'Tax Residency Eligibility'!$A$4:$A$9,0),MATCH($A39,'Tax Residency Eligibility'!$B$3:$G$3,0)),"?"))="Check",IF(D39="","", IFERROR(INDEX('Tax Residency Eligibility'!$B$4:$G$9,MATCH(D39,'Tax Residency Eligibility'!$A$4:$A$9,0),MATCH($A39,'Tax Residency Eligibility'!$B$3:$G$3,0)),"?"))="Check",IF(E39="","", IFERROR(INDEX('Tax Residency Eligibility'!$B$4:$G$9,MATCH(E39,'Tax Residency Eligibility'!$A$4:$A$9,0),MATCH($A39,'Tax Residency Eligibility'!$B$3:$G$3,0)),"?"))="Check"),"Check directly","Yes"))</f>
        <v/>
      </c>
      <c r="G39" s="16">
        <f>IFERROR(VLOOKUP(C39,'Broker Fees'!$A$4:$G$9,7,0),0)+IF(D39="",0,IFERROR(VLOOKUP(D39,'Broker Fees'!$A$4:$G$9,7,0),0))+IF(E39="",0,IFERROR(VLOOKUP(E39,'Broker Fees'!$A$4:$G$9,7,0),0))</f>
        <v/>
      </c>
      <c r="H3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39" s="18">
        <f>VLOOKUP($A39,'Capital Gains Tax'!$A$4:$D$9,2,0)</f>
        <v/>
      </c>
      <c r="J39" s="18">
        <f>VLOOKUP($A39,'Capital Gains Tax'!$A$4:$D$9,3,0)</f>
        <v/>
      </c>
    </row>
    <row r="40" ht="15" customHeight="1">
      <c r="A40" s="9" t="inlineStr">
        <is>
          <t>US</t>
        </is>
      </c>
      <c r="B40" s="9" t="inlineStr">
        <is>
          <t>Saxo+Swissquote+XTB</t>
        </is>
      </c>
      <c r="C40" s="15" t="inlineStr">
        <is>
          <t>Saxo</t>
        </is>
      </c>
      <c r="D40" s="15" t="inlineStr">
        <is>
          <t>Swissquote</t>
        </is>
      </c>
      <c r="E40" s="15" t="inlineStr">
        <is>
          <t>XTB</t>
        </is>
      </c>
      <c r="F40" s="9">
        <f>IF(OR(IF(C40="","", IFERROR(INDEX('Tax Residency Eligibility'!$B$4:$G$9,MATCH(C40,'Tax Residency Eligibility'!$A$4:$A$9,0),MATCH($A40,'Tax Residency Eligibility'!$B$3:$G$3,0)),"?"))="N",IF(D40="","", IFERROR(INDEX('Tax Residency Eligibility'!$B$4:$G$9,MATCH(D40,'Tax Residency Eligibility'!$A$4:$A$9,0),MATCH($A40,'Tax Residency Eligibility'!$B$3:$G$3,0)),"?"))="N",IF(E40="","", IFERROR(INDEX('Tax Residency Eligibility'!$B$4:$G$9,MATCH(E40,'Tax Residency Eligibility'!$A$4:$A$9,0),MATCH($A40,'Tax Residency Eligibility'!$B$3:$G$3,0)),"?"))="N"),"No",IF(OR(IF(C40="","", IFERROR(INDEX('Tax Residency Eligibility'!$B$4:$G$9,MATCH(C40,'Tax Residency Eligibility'!$A$4:$A$9,0),MATCH($A40,'Tax Residency Eligibility'!$B$3:$G$3,0)),"?"))="Check",IF(D40="","", IFERROR(INDEX('Tax Residency Eligibility'!$B$4:$G$9,MATCH(D40,'Tax Residency Eligibility'!$A$4:$A$9,0),MATCH($A40,'Tax Residency Eligibility'!$B$3:$G$3,0)),"?"))="Check",IF(E40="","", IFERROR(INDEX('Tax Residency Eligibility'!$B$4:$G$9,MATCH(E40,'Tax Residency Eligibility'!$A$4:$A$9,0),MATCH($A40,'Tax Residency Eligibility'!$B$3:$G$3,0)),"?"))="Check"),"Check directly","Yes"))</f>
        <v/>
      </c>
      <c r="G40" s="16">
        <f>IFERROR(VLOOKUP(C40,'Broker Fees'!$A$4:$G$9,7,0),0)+IF(D40="",0,IFERROR(VLOOKUP(D40,'Broker Fees'!$A$4:$G$9,7,0),0))+IF(E40="",0,IFERROR(VLOOKUP(E40,'Broker Fees'!$A$4:$G$9,7,0),0))</f>
        <v/>
      </c>
      <c r="H4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0" s="18">
        <f>VLOOKUP($A40,'Capital Gains Tax'!$A$4:$D$9,2,0)</f>
        <v/>
      </c>
      <c r="J40" s="18">
        <f>VLOOKUP($A40,'Capital Gains Tax'!$A$4:$D$9,3,0)</f>
        <v/>
      </c>
    </row>
    <row r="41" ht="15" customHeight="1">
      <c r="A41" s="9" t="inlineStr">
        <is>
          <t>US</t>
        </is>
      </c>
      <c r="B41" s="9" t="inlineStr">
        <is>
          <t>Wio+Exante+Swissquote</t>
        </is>
      </c>
      <c r="C41" s="15" t="inlineStr">
        <is>
          <t>Wio</t>
        </is>
      </c>
      <c r="D41" s="15" t="inlineStr">
        <is>
          <t>Exante</t>
        </is>
      </c>
      <c r="E41" s="15" t="inlineStr">
        <is>
          <t>Swissquote</t>
        </is>
      </c>
      <c r="F41" s="9">
        <f>IF(OR(IF(C41="","", IFERROR(INDEX('Tax Residency Eligibility'!$B$4:$G$9,MATCH(C41,'Tax Residency Eligibility'!$A$4:$A$9,0),MATCH($A41,'Tax Residency Eligibility'!$B$3:$G$3,0)),"?"))="N",IF(D41="","", IFERROR(INDEX('Tax Residency Eligibility'!$B$4:$G$9,MATCH(D41,'Tax Residency Eligibility'!$A$4:$A$9,0),MATCH($A41,'Tax Residency Eligibility'!$B$3:$G$3,0)),"?"))="N",IF(E41="","", IFERROR(INDEX('Tax Residency Eligibility'!$B$4:$G$9,MATCH(E41,'Tax Residency Eligibility'!$A$4:$A$9,0),MATCH($A41,'Tax Residency Eligibility'!$B$3:$G$3,0)),"?"))="N"),"No",IF(OR(IF(C41="","", IFERROR(INDEX('Tax Residency Eligibility'!$B$4:$G$9,MATCH(C41,'Tax Residency Eligibility'!$A$4:$A$9,0),MATCH($A41,'Tax Residency Eligibility'!$B$3:$G$3,0)),"?"))="Check",IF(D41="","", IFERROR(INDEX('Tax Residency Eligibility'!$B$4:$G$9,MATCH(D41,'Tax Residency Eligibility'!$A$4:$A$9,0),MATCH($A41,'Tax Residency Eligibility'!$B$3:$G$3,0)),"?"))="Check",IF(E41="","", IFERROR(INDEX('Tax Residency Eligibility'!$B$4:$G$9,MATCH(E41,'Tax Residency Eligibility'!$A$4:$A$9,0),MATCH($A41,'Tax Residency Eligibility'!$B$3:$G$3,0)),"?"))="Check"),"Check directly","Yes"))</f>
        <v/>
      </c>
      <c r="G41" s="16">
        <f>IFERROR(VLOOKUP(C41,'Broker Fees'!$A$4:$G$9,7,0),0)+IF(D41="",0,IFERROR(VLOOKUP(D41,'Broker Fees'!$A$4:$G$9,7,0),0))+IF(E41="",0,IFERROR(VLOOKUP(E41,'Broker Fees'!$A$4:$G$9,7,0),0))</f>
        <v/>
      </c>
      <c r="H4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1" s="18">
        <f>VLOOKUP($A41,'Capital Gains Tax'!$A$4:$D$9,2,0)</f>
        <v/>
      </c>
      <c r="J41" s="18">
        <f>VLOOKUP($A41,'Capital Gains Tax'!$A$4:$D$9,3,0)</f>
        <v/>
      </c>
    </row>
    <row r="42" ht="15" customHeight="1">
      <c r="A42" s="9" t="inlineStr">
        <is>
          <t>US</t>
        </is>
      </c>
      <c r="B42" s="9" t="inlineStr">
        <is>
          <t>Wio+Exante+XTB</t>
        </is>
      </c>
      <c r="C42" s="15" t="inlineStr">
        <is>
          <t>Wio</t>
        </is>
      </c>
      <c r="D42" s="15" t="inlineStr">
        <is>
          <t>Exante</t>
        </is>
      </c>
      <c r="E42" s="15" t="inlineStr">
        <is>
          <t>XTB</t>
        </is>
      </c>
      <c r="F42" s="9">
        <f>IF(OR(IF(C42="","", IFERROR(INDEX('Tax Residency Eligibility'!$B$4:$G$9,MATCH(C42,'Tax Residency Eligibility'!$A$4:$A$9,0),MATCH($A42,'Tax Residency Eligibility'!$B$3:$G$3,0)),"?"))="N",IF(D42="","", IFERROR(INDEX('Tax Residency Eligibility'!$B$4:$G$9,MATCH(D42,'Tax Residency Eligibility'!$A$4:$A$9,0),MATCH($A42,'Tax Residency Eligibility'!$B$3:$G$3,0)),"?"))="N",IF(E42="","", IFERROR(INDEX('Tax Residency Eligibility'!$B$4:$G$9,MATCH(E42,'Tax Residency Eligibility'!$A$4:$A$9,0),MATCH($A42,'Tax Residency Eligibility'!$B$3:$G$3,0)),"?"))="N"),"No",IF(OR(IF(C42="","", IFERROR(INDEX('Tax Residency Eligibility'!$B$4:$G$9,MATCH(C42,'Tax Residency Eligibility'!$A$4:$A$9,0),MATCH($A42,'Tax Residency Eligibility'!$B$3:$G$3,0)),"?"))="Check",IF(D42="","", IFERROR(INDEX('Tax Residency Eligibility'!$B$4:$G$9,MATCH(D42,'Tax Residency Eligibility'!$A$4:$A$9,0),MATCH($A42,'Tax Residency Eligibility'!$B$3:$G$3,0)),"?"))="Check",IF(E42="","", IFERROR(INDEX('Tax Residency Eligibility'!$B$4:$G$9,MATCH(E42,'Tax Residency Eligibility'!$A$4:$A$9,0),MATCH($A42,'Tax Residency Eligibility'!$B$3:$G$3,0)),"?"))="Check"),"Check directly","Yes"))</f>
        <v/>
      </c>
      <c r="G42" s="16">
        <f>IFERROR(VLOOKUP(C42,'Broker Fees'!$A$4:$G$9,7,0),0)+IF(D42="",0,IFERROR(VLOOKUP(D42,'Broker Fees'!$A$4:$G$9,7,0),0))+IF(E42="",0,IFERROR(VLOOKUP(E42,'Broker Fees'!$A$4:$G$9,7,0),0))</f>
        <v/>
      </c>
      <c r="H4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2" s="18">
        <f>VLOOKUP($A42,'Capital Gains Tax'!$A$4:$D$9,2,0)</f>
        <v/>
      </c>
      <c r="J42" s="18">
        <f>VLOOKUP($A42,'Capital Gains Tax'!$A$4:$D$9,3,0)</f>
        <v/>
      </c>
    </row>
    <row r="43" ht="15" customHeight="1">
      <c r="A43" s="9" t="inlineStr">
        <is>
          <t>US</t>
        </is>
      </c>
      <c r="B43" s="9" t="inlineStr">
        <is>
          <t>Wio+Swissquote+XTB</t>
        </is>
      </c>
      <c r="C43" s="15" t="inlineStr">
        <is>
          <t>Wio</t>
        </is>
      </c>
      <c r="D43" s="15" t="inlineStr">
        <is>
          <t>Swissquote</t>
        </is>
      </c>
      <c r="E43" s="15" t="inlineStr">
        <is>
          <t>XTB</t>
        </is>
      </c>
      <c r="F43" s="9">
        <f>IF(OR(IF(C43="","", IFERROR(INDEX('Tax Residency Eligibility'!$B$4:$G$9,MATCH(C43,'Tax Residency Eligibility'!$A$4:$A$9,0),MATCH($A43,'Tax Residency Eligibility'!$B$3:$G$3,0)),"?"))="N",IF(D43="","", IFERROR(INDEX('Tax Residency Eligibility'!$B$4:$G$9,MATCH(D43,'Tax Residency Eligibility'!$A$4:$A$9,0),MATCH($A43,'Tax Residency Eligibility'!$B$3:$G$3,0)),"?"))="N",IF(E43="","", IFERROR(INDEX('Tax Residency Eligibility'!$B$4:$G$9,MATCH(E43,'Tax Residency Eligibility'!$A$4:$A$9,0),MATCH($A43,'Tax Residency Eligibility'!$B$3:$G$3,0)),"?"))="N"),"No",IF(OR(IF(C43="","", IFERROR(INDEX('Tax Residency Eligibility'!$B$4:$G$9,MATCH(C43,'Tax Residency Eligibility'!$A$4:$A$9,0),MATCH($A43,'Tax Residency Eligibility'!$B$3:$G$3,0)),"?"))="Check",IF(D43="","", IFERROR(INDEX('Tax Residency Eligibility'!$B$4:$G$9,MATCH(D43,'Tax Residency Eligibility'!$A$4:$A$9,0),MATCH($A43,'Tax Residency Eligibility'!$B$3:$G$3,0)),"?"))="Check",IF(E43="","", IFERROR(INDEX('Tax Residency Eligibility'!$B$4:$G$9,MATCH(E43,'Tax Residency Eligibility'!$A$4:$A$9,0),MATCH($A43,'Tax Residency Eligibility'!$B$3:$G$3,0)),"?"))="Check"),"Check directly","Yes"))</f>
        <v/>
      </c>
      <c r="G43" s="16">
        <f>IFERROR(VLOOKUP(C43,'Broker Fees'!$A$4:$G$9,7,0),0)+IF(D43="",0,IFERROR(VLOOKUP(D43,'Broker Fees'!$A$4:$G$9,7,0),0))+IF(E43="",0,IFERROR(VLOOKUP(E43,'Broker Fees'!$A$4:$G$9,7,0),0))</f>
        <v/>
      </c>
      <c r="H4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3" s="18">
        <f>VLOOKUP($A43,'Capital Gains Tax'!$A$4:$D$9,2,0)</f>
        <v/>
      </c>
      <c r="J43" s="18">
        <f>VLOOKUP($A43,'Capital Gains Tax'!$A$4:$D$9,3,0)</f>
        <v/>
      </c>
    </row>
    <row r="44" ht="15" customHeight="1">
      <c r="A44" s="9" t="inlineStr">
        <is>
          <t>US</t>
        </is>
      </c>
      <c r="B44" s="9" t="inlineStr">
        <is>
          <t>Exante+Swissquote+XTB</t>
        </is>
      </c>
      <c r="C44" s="15" t="inlineStr">
        <is>
          <t>Exante</t>
        </is>
      </c>
      <c r="D44" s="15" t="inlineStr">
        <is>
          <t>Swissquote</t>
        </is>
      </c>
      <c r="E44" s="15" t="inlineStr">
        <is>
          <t>XTB</t>
        </is>
      </c>
      <c r="F44" s="9">
        <f>IF(OR(IF(C44="","", IFERROR(INDEX('Tax Residency Eligibility'!$B$4:$G$9,MATCH(C44,'Tax Residency Eligibility'!$A$4:$A$9,0),MATCH($A44,'Tax Residency Eligibility'!$B$3:$G$3,0)),"?"))="N",IF(D44="","", IFERROR(INDEX('Tax Residency Eligibility'!$B$4:$G$9,MATCH(D44,'Tax Residency Eligibility'!$A$4:$A$9,0),MATCH($A44,'Tax Residency Eligibility'!$B$3:$G$3,0)),"?"))="N",IF(E44="","", IFERROR(INDEX('Tax Residency Eligibility'!$B$4:$G$9,MATCH(E44,'Tax Residency Eligibility'!$A$4:$A$9,0),MATCH($A44,'Tax Residency Eligibility'!$B$3:$G$3,0)),"?"))="N"),"No",IF(OR(IF(C44="","", IFERROR(INDEX('Tax Residency Eligibility'!$B$4:$G$9,MATCH(C44,'Tax Residency Eligibility'!$A$4:$A$9,0),MATCH($A44,'Tax Residency Eligibility'!$B$3:$G$3,0)),"?"))="Check",IF(D44="","", IFERROR(INDEX('Tax Residency Eligibility'!$B$4:$G$9,MATCH(D44,'Tax Residency Eligibility'!$A$4:$A$9,0),MATCH($A44,'Tax Residency Eligibility'!$B$3:$G$3,0)),"?"))="Check",IF(E44="","", IFERROR(INDEX('Tax Residency Eligibility'!$B$4:$G$9,MATCH(E44,'Tax Residency Eligibility'!$A$4:$A$9,0),MATCH($A44,'Tax Residency Eligibility'!$B$3:$G$3,0)),"?"))="Check"),"Check directly","Yes"))</f>
        <v/>
      </c>
      <c r="G44" s="16">
        <f>IFERROR(VLOOKUP(C44,'Broker Fees'!$A$4:$G$9,7,0),0)+IF(D44="",0,IFERROR(VLOOKUP(D44,'Broker Fees'!$A$4:$G$9,7,0),0))+IF(E44="",0,IFERROR(VLOOKUP(E44,'Broker Fees'!$A$4:$G$9,7,0),0))</f>
        <v/>
      </c>
      <c r="H4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4" s="18">
        <f>VLOOKUP($A44,'Capital Gains Tax'!$A$4:$D$9,2,0)</f>
        <v/>
      </c>
      <c r="J44" s="18">
        <f>VLOOKUP($A44,'Capital Gains Tax'!$A$4:$D$9,3,0)</f>
        <v/>
      </c>
    </row>
    <row r="45" ht="15" customHeight="1">
      <c r="A45" s="9" t="inlineStr">
        <is>
          <t>UK</t>
        </is>
      </c>
      <c r="B45" s="9" t="inlineStr">
        <is>
          <t>IBKR</t>
        </is>
      </c>
      <c r="C45" s="15" t="inlineStr">
        <is>
          <t>IBKR</t>
        </is>
      </c>
      <c r="D45" s="15" t="n"/>
      <c r="E45" s="15" t="n"/>
      <c r="F45" s="9">
        <f>IF(OR(IF(C45="","", IFERROR(INDEX('Tax Residency Eligibility'!$B$4:$G$9,MATCH(C45,'Tax Residency Eligibility'!$A$4:$A$9,0),MATCH($A45,'Tax Residency Eligibility'!$B$3:$G$3,0)),"?"))="N",IF(D45="","", IFERROR(INDEX('Tax Residency Eligibility'!$B$4:$G$9,MATCH(D45,'Tax Residency Eligibility'!$A$4:$A$9,0),MATCH($A45,'Tax Residency Eligibility'!$B$3:$G$3,0)),"?"))="N",IF(E45="","", IFERROR(INDEX('Tax Residency Eligibility'!$B$4:$G$9,MATCH(E45,'Tax Residency Eligibility'!$A$4:$A$9,0),MATCH($A45,'Tax Residency Eligibility'!$B$3:$G$3,0)),"?"))="N"),"No",IF(OR(IF(C45="","", IFERROR(INDEX('Tax Residency Eligibility'!$B$4:$G$9,MATCH(C45,'Tax Residency Eligibility'!$A$4:$A$9,0),MATCH($A45,'Tax Residency Eligibility'!$B$3:$G$3,0)),"?"))="Check",IF(D45="","", IFERROR(INDEX('Tax Residency Eligibility'!$B$4:$G$9,MATCH(D45,'Tax Residency Eligibility'!$A$4:$A$9,0),MATCH($A45,'Tax Residency Eligibility'!$B$3:$G$3,0)),"?"))="Check",IF(E45="","", IFERROR(INDEX('Tax Residency Eligibility'!$B$4:$G$9,MATCH(E45,'Tax Residency Eligibility'!$A$4:$A$9,0),MATCH($A45,'Tax Residency Eligibility'!$B$3:$G$3,0)),"?"))="Check"),"Check directly","Yes"))</f>
        <v/>
      </c>
      <c r="G45" s="16">
        <f>IFERROR(VLOOKUP(C45,'Broker Fees'!$A$4:$G$9,7,0),0)+IF(D45="",0,IFERROR(VLOOKUP(D45,'Broker Fees'!$A$4:$G$9,7,0),0))+IF(E45="",0,IFERROR(VLOOKUP(E45,'Broker Fees'!$A$4:$G$9,7,0),0))</f>
        <v/>
      </c>
      <c r="H4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5" s="18">
        <f>VLOOKUP($A45,'Capital Gains Tax'!$A$4:$D$9,2,0)</f>
        <v/>
      </c>
      <c r="J45" s="18">
        <f>VLOOKUP($A45,'Capital Gains Tax'!$A$4:$D$9,3,0)</f>
        <v/>
      </c>
    </row>
    <row r="46" ht="15" customHeight="1">
      <c r="A46" s="9" t="inlineStr">
        <is>
          <t>UK</t>
        </is>
      </c>
      <c r="B46" s="9" t="inlineStr">
        <is>
          <t>Saxo</t>
        </is>
      </c>
      <c r="C46" s="15" t="inlineStr">
        <is>
          <t>Saxo</t>
        </is>
      </c>
      <c r="D46" s="15" t="n"/>
      <c r="E46" s="15" t="n"/>
      <c r="F46" s="9">
        <f>IF(OR(IF(C46="","", IFERROR(INDEX('Tax Residency Eligibility'!$B$4:$G$9,MATCH(C46,'Tax Residency Eligibility'!$A$4:$A$9,0),MATCH($A46,'Tax Residency Eligibility'!$B$3:$G$3,0)),"?"))="N",IF(D46="","", IFERROR(INDEX('Tax Residency Eligibility'!$B$4:$G$9,MATCH(D46,'Tax Residency Eligibility'!$A$4:$A$9,0),MATCH($A46,'Tax Residency Eligibility'!$B$3:$G$3,0)),"?"))="N",IF(E46="","", IFERROR(INDEX('Tax Residency Eligibility'!$B$4:$G$9,MATCH(E46,'Tax Residency Eligibility'!$A$4:$A$9,0),MATCH($A46,'Tax Residency Eligibility'!$B$3:$G$3,0)),"?"))="N"),"No",IF(OR(IF(C46="","", IFERROR(INDEX('Tax Residency Eligibility'!$B$4:$G$9,MATCH(C46,'Tax Residency Eligibility'!$A$4:$A$9,0),MATCH($A46,'Tax Residency Eligibility'!$B$3:$G$3,0)),"?"))="Check",IF(D46="","", IFERROR(INDEX('Tax Residency Eligibility'!$B$4:$G$9,MATCH(D46,'Tax Residency Eligibility'!$A$4:$A$9,0),MATCH($A46,'Tax Residency Eligibility'!$B$3:$G$3,0)),"?"))="Check",IF(E46="","", IFERROR(INDEX('Tax Residency Eligibility'!$B$4:$G$9,MATCH(E46,'Tax Residency Eligibility'!$A$4:$A$9,0),MATCH($A46,'Tax Residency Eligibility'!$B$3:$G$3,0)),"?"))="Check"),"Check directly","Yes"))</f>
        <v/>
      </c>
      <c r="G46" s="16">
        <f>IFERROR(VLOOKUP(C46,'Broker Fees'!$A$4:$G$9,7,0),0)+IF(D46="",0,IFERROR(VLOOKUP(D46,'Broker Fees'!$A$4:$G$9,7,0),0))+IF(E46="",0,IFERROR(VLOOKUP(E46,'Broker Fees'!$A$4:$G$9,7,0),0))</f>
        <v/>
      </c>
      <c r="H4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6" s="18">
        <f>VLOOKUP($A46,'Capital Gains Tax'!$A$4:$D$9,2,0)</f>
        <v/>
      </c>
      <c r="J46" s="18">
        <f>VLOOKUP($A46,'Capital Gains Tax'!$A$4:$D$9,3,0)</f>
        <v/>
      </c>
    </row>
    <row r="47" ht="15" customHeight="1">
      <c r="A47" s="9" t="inlineStr">
        <is>
          <t>UK</t>
        </is>
      </c>
      <c r="B47" s="9" t="inlineStr">
        <is>
          <t>Wio</t>
        </is>
      </c>
      <c r="C47" s="15" t="inlineStr">
        <is>
          <t>Wio</t>
        </is>
      </c>
      <c r="D47" s="15" t="n"/>
      <c r="E47" s="15" t="n"/>
      <c r="F47" s="9">
        <f>IF(OR(IF(C47="","", IFERROR(INDEX('Tax Residency Eligibility'!$B$4:$G$9,MATCH(C47,'Tax Residency Eligibility'!$A$4:$A$9,0),MATCH($A47,'Tax Residency Eligibility'!$B$3:$G$3,0)),"?"))="N",IF(D47="","", IFERROR(INDEX('Tax Residency Eligibility'!$B$4:$G$9,MATCH(D47,'Tax Residency Eligibility'!$A$4:$A$9,0),MATCH($A47,'Tax Residency Eligibility'!$B$3:$G$3,0)),"?"))="N",IF(E47="","", IFERROR(INDEX('Tax Residency Eligibility'!$B$4:$G$9,MATCH(E47,'Tax Residency Eligibility'!$A$4:$A$9,0),MATCH($A47,'Tax Residency Eligibility'!$B$3:$G$3,0)),"?"))="N"),"No",IF(OR(IF(C47="","", IFERROR(INDEX('Tax Residency Eligibility'!$B$4:$G$9,MATCH(C47,'Tax Residency Eligibility'!$A$4:$A$9,0),MATCH($A47,'Tax Residency Eligibility'!$B$3:$G$3,0)),"?"))="Check",IF(D47="","", IFERROR(INDEX('Tax Residency Eligibility'!$B$4:$G$9,MATCH(D47,'Tax Residency Eligibility'!$A$4:$A$9,0),MATCH($A47,'Tax Residency Eligibility'!$B$3:$G$3,0)),"?"))="Check",IF(E47="","", IFERROR(INDEX('Tax Residency Eligibility'!$B$4:$G$9,MATCH(E47,'Tax Residency Eligibility'!$A$4:$A$9,0),MATCH($A47,'Tax Residency Eligibility'!$B$3:$G$3,0)),"?"))="Check"),"Check directly","Yes"))</f>
        <v/>
      </c>
      <c r="G47" s="16">
        <f>IFERROR(VLOOKUP(C47,'Broker Fees'!$A$4:$G$9,7,0),0)+IF(D47="",0,IFERROR(VLOOKUP(D47,'Broker Fees'!$A$4:$G$9,7,0),0))+IF(E47="",0,IFERROR(VLOOKUP(E47,'Broker Fees'!$A$4:$G$9,7,0),0))</f>
        <v/>
      </c>
      <c r="H4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7" s="18">
        <f>VLOOKUP($A47,'Capital Gains Tax'!$A$4:$D$9,2,0)</f>
        <v/>
      </c>
      <c r="J47" s="18">
        <f>VLOOKUP($A47,'Capital Gains Tax'!$A$4:$D$9,3,0)</f>
        <v/>
      </c>
    </row>
    <row r="48" ht="15" customHeight="1">
      <c r="A48" s="9" t="inlineStr">
        <is>
          <t>UK</t>
        </is>
      </c>
      <c r="B48" s="9" t="inlineStr">
        <is>
          <t>Exante</t>
        </is>
      </c>
      <c r="C48" s="15" t="inlineStr">
        <is>
          <t>Exante</t>
        </is>
      </c>
      <c r="D48" s="15" t="n"/>
      <c r="E48" s="15" t="n"/>
      <c r="F48" s="9">
        <f>IF(OR(IF(C48="","", IFERROR(INDEX('Tax Residency Eligibility'!$B$4:$G$9,MATCH(C48,'Tax Residency Eligibility'!$A$4:$A$9,0),MATCH($A48,'Tax Residency Eligibility'!$B$3:$G$3,0)),"?"))="N",IF(D48="","", IFERROR(INDEX('Tax Residency Eligibility'!$B$4:$G$9,MATCH(D48,'Tax Residency Eligibility'!$A$4:$A$9,0),MATCH($A48,'Tax Residency Eligibility'!$B$3:$G$3,0)),"?"))="N",IF(E48="","", IFERROR(INDEX('Tax Residency Eligibility'!$B$4:$G$9,MATCH(E48,'Tax Residency Eligibility'!$A$4:$A$9,0),MATCH($A48,'Tax Residency Eligibility'!$B$3:$G$3,0)),"?"))="N"),"No",IF(OR(IF(C48="","", IFERROR(INDEX('Tax Residency Eligibility'!$B$4:$G$9,MATCH(C48,'Tax Residency Eligibility'!$A$4:$A$9,0),MATCH($A48,'Tax Residency Eligibility'!$B$3:$G$3,0)),"?"))="Check",IF(D48="","", IFERROR(INDEX('Tax Residency Eligibility'!$B$4:$G$9,MATCH(D48,'Tax Residency Eligibility'!$A$4:$A$9,0),MATCH($A48,'Tax Residency Eligibility'!$B$3:$G$3,0)),"?"))="Check",IF(E48="","", IFERROR(INDEX('Tax Residency Eligibility'!$B$4:$G$9,MATCH(E48,'Tax Residency Eligibility'!$A$4:$A$9,0),MATCH($A48,'Tax Residency Eligibility'!$B$3:$G$3,0)),"?"))="Check"),"Check directly","Yes"))</f>
        <v/>
      </c>
      <c r="G48" s="16">
        <f>IFERROR(VLOOKUP(C48,'Broker Fees'!$A$4:$G$9,7,0),0)+IF(D48="",0,IFERROR(VLOOKUP(D48,'Broker Fees'!$A$4:$G$9,7,0),0))+IF(E48="",0,IFERROR(VLOOKUP(E48,'Broker Fees'!$A$4:$G$9,7,0),0))</f>
        <v/>
      </c>
      <c r="H4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8" s="18">
        <f>VLOOKUP($A48,'Capital Gains Tax'!$A$4:$D$9,2,0)</f>
        <v/>
      </c>
      <c r="J48" s="18">
        <f>VLOOKUP($A48,'Capital Gains Tax'!$A$4:$D$9,3,0)</f>
        <v/>
      </c>
    </row>
    <row r="49" ht="15" customHeight="1">
      <c r="A49" s="9" t="inlineStr">
        <is>
          <t>UK</t>
        </is>
      </c>
      <c r="B49" s="9" t="inlineStr">
        <is>
          <t>Swissquote</t>
        </is>
      </c>
      <c r="C49" s="15" t="inlineStr">
        <is>
          <t>Swissquote</t>
        </is>
      </c>
      <c r="D49" s="15" t="n"/>
      <c r="E49" s="15" t="n"/>
      <c r="F49" s="9">
        <f>IF(OR(IF(C49="","", IFERROR(INDEX('Tax Residency Eligibility'!$B$4:$G$9,MATCH(C49,'Tax Residency Eligibility'!$A$4:$A$9,0),MATCH($A49,'Tax Residency Eligibility'!$B$3:$G$3,0)),"?"))="N",IF(D49="","", IFERROR(INDEX('Tax Residency Eligibility'!$B$4:$G$9,MATCH(D49,'Tax Residency Eligibility'!$A$4:$A$9,0),MATCH($A49,'Tax Residency Eligibility'!$B$3:$G$3,0)),"?"))="N",IF(E49="","", IFERROR(INDEX('Tax Residency Eligibility'!$B$4:$G$9,MATCH(E49,'Tax Residency Eligibility'!$A$4:$A$9,0),MATCH($A49,'Tax Residency Eligibility'!$B$3:$G$3,0)),"?"))="N"),"No",IF(OR(IF(C49="","", IFERROR(INDEX('Tax Residency Eligibility'!$B$4:$G$9,MATCH(C49,'Tax Residency Eligibility'!$A$4:$A$9,0),MATCH($A49,'Tax Residency Eligibility'!$B$3:$G$3,0)),"?"))="Check",IF(D49="","", IFERROR(INDEX('Tax Residency Eligibility'!$B$4:$G$9,MATCH(D49,'Tax Residency Eligibility'!$A$4:$A$9,0),MATCH($A49,'Tax Residency Eligibility'!$B$3:$G$3,0)),"?"))="Check",IF(E49="","", IFERROR(INDEX('Tax Residency Eligibility'!$B$4:$G$9,MATCH(E49,'Tax Residency Eligibility'!$A$4:$A$9,0),MATCH($A49,'Tax Residency Eligibility'!$B$3:$G$3,0)),"?"))="Check"),"Check directly","Yes"))</f>
        <v/>
      </c>
      <c r="G49" s="16">
        <f>IFERROR(VLOOKUP(C49,'Broker Fees'!$A$4:$G$9,7,0),0)+IF(D49="",0,IFERROR(VLOOKUP(D49,'Broker Fees'!$A$4:$G$9,7,0),0))+IF(E49="",0,IFERROR(VLOOKUP(E49,'Broker Fees'!$A$4:$G$9,7,0),0))</f>
        <v/>
      </c>
      <c r="H4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49" s="18">
        <f>VLOOKUP($A49,'Capital Gains Tax'!$A$4:$D$9,2,0)</f>
        <v/>
      </c>
      <c r="J49" s="18">
        <f>VLOOKUP($A49,'Capital Gains Tax'!$A$4:$D$9,3,0)</f>
        <v/>
      </c>
    </row>
    <row r="50" ht="15" customHeight="1">
      <c r="A50" s="9" t="inlineStr">
        <is>
          <t>UK</t>
        </is>
      </c>
      <c r="B50" s="9" t="inlineStr">
        <is>
          <t>XTB</t>
        </is>
      </c>
      <c r="C50" s="15" t="inlineStr">
        <is>
          <t>XTB</t>
        </is>
      </c>
      <c r="D50" s="15" t="n"/>
      <c r="E50" s="15" t="n"/>
      <c r="F50" s="9">
        <f>IF(OR(IF(C50="","", IFERROR(INDEX('Tax Residency Eligibility'!$B$4:$G$9,MATCH(C50,'Tax Residency Eligibility'!$A$4:$A$9,0),MATCH($A50,'Tax Residency Eligibility'!$B$3:$G$3,0)),"?"))="N",IF(D50="","", IFERROR(INDEX('Tax Residency Eligibility'!$B$4:$G$9,MATCH(D50,'Tax Residency Eligibility'!$A$4:$A$9,0),MATCH($A50,'Tax Residency Eligibility'!$B$3:$G$3,0)),"?"))="N",IF(E50="","", IFERROR(INDEX('Tax Residency Eligibility'!$B$4:$G$9,MATCH(E50,'Tax Residency Eligibility'!$A$4:$A$9,0),MATCH($A50,'Tax Residency Eligibility'!$B$3:$G$3,0)),"?"))="N"),"No",IF(OR(IF(C50="","", IFERROR(INDEX('Tax Residency Eligibility'!$B$4:$G$9,MATCH(C50,'Tax Residency Eligibility'!$A$4:$A$9,0),MATCH($A50,'Tax Residency Eligibility'!$B$3:$G$3,0)),"?"))="Check",IF(D50="","", IFERROR(INDEX('Tax Residency Eligibility'!$B$4:$G$9,MATCH(D50,'Tax Residency Eligibility'!$A$4:$A$9,0),MATCH($A50,'Tax Residency Eligibility'!$B$3:$G$3,0)),"?"))="Check",IF(E50="","", IFERROR(INDEX('Tax Residency Eligibility'!$B$4:$G$9,MATCH(E50,'Tax Residency Eligibility'!$A$4:$A$9,0),MATCH($A50,'Tax Residency Eligibility'!$B$3:$G$3,0)),"?"))="Check"),"Check directly","Yes"))</f>
        <v/>
      </c>
      <c r="G50" s="16">
        <f>IFERROR(VLOOKUP(C50,'Broker Fees'!$A$4:$G$9,7,0),0)+IF(D50="",0,IFERROR(VLOOKUP(D50,'Broker Fees'!$A$4:$G$9,7,0),0))+IF(E50="",0,IFERROR(VLOOKUP(E50,'Broker Fees'!$A$4:$G$9,7,0),0))</f>
        <v/>
      </c>
      <c r="H5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0" s="18">
        <f>VLOOKUP($A50,'Capital Gains Tax'!$A$4:$D$9,2,0)</f>
        <v/>
      </c>
      <c r="J50" s="18">
        <f>VLOOKUP($A50,'Capital Gains Tax'!$A$4:$D$9,3,0)</f>
        <v/>
      </c>
    </row>
    <row r="51" ht="15" customHeight="1">
      <c r="A51" s="9" t="inlineStr">
        <is>
          <t>UK</t>
        </is>
      </c>
      <c r="B51" s="9" t="inlineStr">
        <is>
          <t>IBKR+Saxo</t>
        </is>
      </c>
      <c r="C51" s="15" t="inlineStr">
        <is>
          <t>IBKR</t>
        </is>
      </c>
      <c r="D51" s="15" t="inlineStr">
        <is>
          <t>Saxo</t>
        </is>
      </c>
      <c r="E51" s="15" t="n"/>
      <c r="F51" s="9">
        <f>IF(OR(IF(C51="","", IFERROR(INDEX('Tax Residency Eligibility'!$B$4:$G$9,MATCH(C51,'Tax Residency Eligibility'!$A$4:$A$9,0),MATCH($A51,'Tax Residency Eligibility'!$B$3:$G$3,0)),"?"))="N",IF(D51="","", IFERROR(INDEX('Tax Residency Eligibility'!$B$4:$G$9,MATCH(D51,'Tax Residency Eligibility'!$A$4:$A$9,0),MATCH($A51,'Tax Residency Eligibility'!$B$3:$G$3,0)),"?"))="N",IF(E51="","", IFERROR(INDEX('Tax Residency Eligibility'!$B$4:$G$9,MATCH(E51,'Tax Residency Eligibility'!$A$4:$A$9,0),MATCH($A51,'Tax Residency Eligibility'!$B$3:$G$3,0)),"?"))="N"),"No",IF(OR(IF(C51="","", IFERROR(INDEX('Tax Residency Eligibility'!$B$4:$G$9,MATCH(C51,'Tax Residency Eligibility'!$A$4:$A$9,0),MATCH($A51,'Tax Residency Eligibility'!$B$3:$G$3,0)),"?"))="Check",IF(D51="","", IFERROR(INDEX('Tax Residency Eligibility'!$B$4:$G$9,MATCH(D51,'Tax Residency Eligibility'!$A$4:$A$9,0),MATCH($A51,'Tax Residency Eligibility'!$B$3:$G$3,0)),"?"))="Check",IF(E51="","", IFERROR(INDEX('Tax Residency Eligibility'!$B$4:$G$9,MATCH(E51,'Tax Residency Eligibility'!$A$4:$A$9,0),MATCH($A51,'Tax Residency Eligibility'!$B$3:$G$3,0)),"?"))="Check"),"Check directly","Yes"))</f>
        <v/>
      </c>
      <c r="G51" s="16">
        <f>IFERROR(VLOOKUP(C51,'Broker Fees'!$A$4:$G$9,7,0),0)+IF(D51="",0,IFERROR(VLOOKUP(D51,'Broker Fees'!$A$4:$G$9,7,0),0))+IF(E51="",0,IFERROR(VLOOKUP(E51,'Broker Fees'!$A$4:$G$9,7,0),0))</f>
        <v/>
      </c>
      <c r="H5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1" s="18">
        <f>VLOOKUP($A51,'Capital Gains Tax'!$A$4:$D$9,2,0)</f>
        <v/>
      </c>
      <c r="J51" s="18">
        <f>VLOOKUP($A51,'Capital Gains Tax'!$A$4:$D$9,3,0)</f>
        <v/>
      </c>
    </row>
    <row r="52" ht="15" customHeight="1">
      <c r="A52" s="9" t="inlineStr">
        <is>
          <t>UK</t>
        </is>
      </c>
      <c r="B52" s="9" t="inlineStr">
        <is>
          <t>IBKR+Wio</t>
        </is>
      </c>
      <c r="C52" s="15" t="inlineStr">
        <is>
          <t>IBKR</t>
        </is>
      </c>
      <c r="D52" s="15" t="inlineStr">
        <is>
          <t>Wio</t>
        </is>
      </c>
      <c r="E52" s="15" t="n"/>
      <c r="F52" s="9">
        <f>IF(OR(IF(C52="","", IFERROR(INDEX('Tax Residency Eligibility'!$B$4:$G$9,MATCH(C52,'Tax Residency Eligibility'!$A$4:$A$9,0),MATCH($A52,'Tax Residency Eligibility'!$B$3:$G$3,0)),"?"))="N",IF(D52="","", IFERROR(INDEX('Tax Residency Eligibility'!$B$4:$G$9,MATCH(D52,'Tax Residency Eligibility'!$A$4:$A$9,0),MATCH($A52,'Tax Residency Eligibility'!$B$3:$G$3,0)),"?"))="N",IF(E52="","", IFERROR(INDEX('Tax Residency Eligibility'!$B$4:$G$9,MATCH(E52,'Tax Residency Eligibility'!$A$4:$A$9,0),MATCH($A52,'Tax Residency Eligibility'!$B$3:$G$3,0)),"?"))="N"),"No",IF(OR(IF(C52="","", IFERROR(INDEX('Tax Residency Eligibility'!$B$4:$G$9,MATCH(C52,'Tax Residency Eligibility'!$A$4:$A$9,0),MATCH($A52,'Tax Residency Eligibility'!$B$3:$G$3,0)),"?"))="Check",IF(D52="","", IFERROR(INDEX('Tax Residency Eligibility'!$B$4:$G$9,MATCH(D52,'Tax Residency Eligibility'!$A$4:$A$9,0),MATCH($A52,'Tax Residency Eligibility'!$B$3:$G$3,0)),"?"))="Check",IF(E52="","", IFERROR(INDEX('Tax Residency Eligibility'!$B$4:$G$9,MATCH(E52,'Tax Residency Eligibility'!$A$4:$A$9,0),MATCH($A52,'Tax Residency Eligibility'!$B$3:$G$3,0)),"?"))="Check"),"Check directly","Yes"))</f>
        <v/>
      </c>
      <c r="G52" s="16">
        <f>IFERROR(VLOOKUP(C52,'Broker Fees'!$A$4:$G$9,7,0),0)+IF(D52="",0,IFERROR(VLOOKUP(D52,'Broker Fees'!$A$4:$G$9,7,0),0))+IF(E52="",0,IFERROR(VLOOKUP(E52,'Broker Fees'!$A$4:$G$9,7,0),0))</f>
        <v/>
      </c>
      <c r="H5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2" s="18">
        <f>VLOOKUP($A52,'Capital Gains Tax'!$A$4:$D$9,2,0)</f>
        <v/>
      </c>
      <c r="J52" s="18">
        <f>VLOOKUP($A52,'Capital Gains Tax'!$A$4:$D$9,3,0)</f>
        <v/>
      </c>
    </row>
    <row r="53" ht="15" customHeight="1">
      <c r="A53" s="9" t="inlineStr">
        <is>
          <t>UK</t>
        </is>
      </c>
      <c r="B53" s="9" t="inlineStr">
        <is>
          <t>IBKR+Exante</t>
        </is>
      </c>
      <c r="C53" s="15" t="inlineStr">
        <is>
          <t>IBKR</t>
        </is>
      </c>
      <c r="D53" s="15" t="inlineStr">
        <is>
          <t>Exante</t>
        </is>
      </c>
      <c r="E53" s="15" t="n"/>
      <c r="F53" s="9">
        <f>IF(OR(IF(C53="","", IFERROR(INDEX('Tax Residency Eligibility'!$B$4:$G$9,MATCH(C53,'Tax Residency Eligibility'!$A$4:$A$9,0),MATCH($A53,'Tax Residency Eligibility'!$B$3:$G$3,0)),"?"))="N",IF(D53="","", IFERROR(INDEX('Tax Residency Eligibility'!$B$4:$G$9,MATCH(D53,'Tax Residency Eligibility'!$A$4:$A$9,0),MATCH($A53,'Tax Residency Eligibility'!$B$3:$G$3,0)),"?"))="N",IF(E53="","", IFERROR(INDEX('Tax Residency Eligibility'!$B$4:$G$9,MATCH(E53,'Tax Residency Eligibility'!$A$4:$A$9,0),MATCH($A53,'Tax Residency Eligibility'!$B$3:$G$3,0)),"?"))="N"),"No",IF(OR(IF(C53="","", IFERROR(INDEX('Tax Residency Eligibility'!$B$4:$G$9,MATCH(C53,'Tax Residency Eligibility'!$A$4:$A$9,0),MATCH($A53,'Tax Residency Eligibility'!$B$3:$G$3,0)),"?"))="Check",IF(D53="","", IFERROR(INDEX('Tax Residency Eligibility'!$B$4:$G$9,MATCH(D53,'Tax Residency Eligibility'!$A$4:$A$9,0),MATCH($A53,'Tax Residency Eligibility'!$B$3:$G$3,0)),"?"))="Check",IF(E53="","", IFERROR(INDEX('Tax Residency Eligibility'!$B$4:$G$9,MATCH(E53,'Tax Residency Eligibility'!$A$4:$A$9,0),MATCH($A53,'Tax Residency Eligibility'!$B$3:$G$3,0)),"?"))="Check"),"Check directly","Yes"))</f>
        <v/>
      </c>
      <c r="G53" s="16">
        <f>IFERROR(VLOOKUP(C53,'Broker Fees'!$A$4:$G$9,7,0),0)+IF(D53="",0,IFERROR(VLOOKUP(D53,'Broker Fees'!$A$4:$G$9,7,0),0))+IF(E53="",0,IFERROR(VLOOKUP(E53,'Broker Fees'!$A$4:$G$9,7,0),0))</f>
        <v/>
      </c>
      <c r="H5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3" s="18">
        <f>VLOOKUP($A53,'Capital Gains Tax'!$A$4:$D$9,2,0)</f>
        <v/>
      </c>
      <c r="J53" s="18">
        <f>VLOOKUP($A53,'Capital Gains Tax'!$A$4:$D$9,3,0)</f>
        <v/>
      </c>
    </row>
    <row r="54" ht="15" customHeight="1">
      <c r="A54" s="9" t="inlineStr">
        <is>
          <t>UK</t>
        </is>
      </c>
      <c r="B54" s="9" t="inlineStr">
        <is>
          <t>IBKR+Swissquote</t>
        </is>
      </c>
      <c r="C54" s="15" t="inlineStr">
        <is>
          <t>IBKR</t>
        </is>
      </c>
      <c r="D54" s="15" t="inlineStr">
        <is>
          <t>Swissquote</t>
        </is>
      </c>
      <c r="E54" s="15" t="n"/>
      <c r="F54" s="9">
        <f>IF(OR(IF(C54="","", IFERROR(INDEX('Tax Residency Eligibility'!$B$4:$G$9,MATCH(C54,'Tax Residency Eligibility'!$A$4:$A$9,0),MATCH($A54,'Tax Residency Eligibility'!$B$3:$G$3,0)),"?"))="N",IF(D54="","", IFERROR(INDEX('Tax Residency Eligibility'!$B$4:$G$9,MATCH(D54,'Tax Residency Eligibility'!$A$4:$A$9,0),MATCH($A54,'Tax Residency Eligibility'!$B$3:$G$3,0)),"?"))="N",IF(E54="","", IFERROR(INDEX('Tax Residency Eligibility'!$B$4:$G$9,MATCH(E54,'Tax Residency Eligibility'!$A$4:$A$9,0),MATCH($A54,'Tax Residency Eligibility'!$B$3:$G$3,0)),"?"))="N"),"No",IF(OR(IF(C54="","", IFERROR(INDEX('Tax Residency Eligibility'!$B$4:$G$9,MATCH(C54,'Tax Residency Eligibility'!$A$4:$A$9,0),MATCH($A54,'Tax Residency Eligibility'!$B$3:$G$3,0)),"?"))="Check",IF(D54="","", IFERROR(INDEX('Tax Residency Eligibility'!$B$4:$G$9,MATCH(D54,'Tax Residency Eligibility'!$A$4:$A$9,0),MATCH($A54,'Tax Residency Eligibility'!$B$3:$G$3,0)),"?"))="Check",IF(E54="","", IFERROR(INDEX('Tax Residency Eligibility'!$B$4:$G$9,MATCH(E54,'Tax Residency Eligibility'!$A$4:$A$9,0),MATCH($A54,'Tax Residency Eligibility'!$B$3:$G$3,0)),"?"))="Check"),"Check directly","Yes"))</f>
        <v/>
      </c>
      <c r="G54" s="16">
        <f>IFERROR(VLOOKUP(C54,'Broker Fees'!$A$4:$G$9,7,0),0)+IF(D54="",0,IFERROR(VLOOKUP(D54,'Broker Fees'!$A$4:$G$9,7,0),0))+IF(E54="",0,IFERROR(VLOOKUP(E54,'Broker Fees'!$A$4:$G$9,7,0),0))</f>
        <v/>
      </c>
      <c r="H5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4" s="18">
        <f>VLOOKUP($A54,'Capital Gains Tax'!$A$4:$D$9,2,0)</f>
        <v/>
      </c>
      <c r="J54" s="18">
        <f>VLOOKUP($A54,'Capital Gains Tax'!$A$4:$D$9,3,0)</f>
        <v/>
      </c>
    </row>
    <row r="55" ht="15" customHeight="1">
      <c r="A55" s="9" t="inlineStr">
        <is>
          <t>UK</t>
        </is>
      </c>
      <c r="B55" s="9" t="inlineStr">
        <is>
          <t>IBKR+XTB</t>
        </is>
      </c>
      <c r="C55" s="15" t="inlineStr">
        <is>
          <t>IBKR</t>
        </is>
      </c>
      <c r="D55" s="15" t="inlineStr">
        <is>
          <t>XTB</t>
        </is>
      </c>
      <c r="E55" s="15" t="n"/>
      <c r="F55" s="9">
        <f>IF(OR(IF(C55="","", IFERROR(INDEX('Tax Residency Eligibility'!$B$4:$G$9,MATCH(C55,'Tax Residency Eligibility'!$A$4:$A$9,0),MATCH($A55,'Tax Residency Eligibility'!$B$3:$G$3,0)),"?"))="N",IF(D55="","", IFERROR(INDEX('Tax Residency Eligibility'!$B$4:$G$9,MATCH(D55,'Tax Residency Eligibility'!$A$4:$A$9,0),MATCH($A55,'Tax Residency Eligibility'!$B$3:$G$3,0)),"?"))="N",IF(E55="","", IFERROR(INDEX('Tax Residency Eligibility'!$B$4:$G$9,MATCH(E55,'Tax Residency Eligibility'!$A$4:$A$9,0),MATCH($A55,'Tax Residency Eligibility'!$B$3:$G$3,0)),"?"))="N"),"No",IF(OR(IF(C55="","", IFERROR(INDEX('Tax Residency Eligibility'!$B$4:$G$9,MATCH(C55,'Tax Residency Eligibility'!$A$4:$A$9,0),MATCH($A55,'Tax Residency Eligibility'!$B$3:$G$3,0)),"?"))="Check",IF(D55="","", IFERROR(INDEX('Tax Residency Eligibility'!$B$4:$G$9,MATCH(D55,'Tax Residency Eligibility'!$A$4:$A$9,0),MATCH($A55,'Tax Residency Eligibility'!$B$3:$G$3,0)),"?"))="Check",IF(E55="","", IFERROR(INDEX('Tax Residency Eligibility'!$B$4:$G$9,MATCH(E55,'Tax Residency Eligibility'!$A$4:$A$9,0),MATCH($A55,'Tax Residency Eligibility'!$B$3:$G$3,0)),"?"))="Check"),"Check directly","Yes"))</f>
        <v/>
      </c>
      <c r="G55" s="16">
        <f>IFERROR(VLOOKUP(C55,'Broker Fees'!$A$4:$G$9,7,0),0)+IF(D55="",0,IFERROR(VLOOKUP(D55,'Broker Fees'!$A$4:$G$9,7,0),0))+IF(E55="",0,IFERROR(VLOOKUP(E55,'Broker Fees'!$A$4:$G$9,7,0),0))</f>
        <v/>
      </c>
      <c r="H5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5" s="18">
        <f>VLOOKUP($A55,'Capital Gains Tax'!$A$4:$D$9,2,0)</f>
        <v/>
      </c>
      <c r="J55" s="18">
        <f>VLOOKUP($A55,'Capital Gains Tax'!$A$4:$D$9,3,0)</f>
        <v/>
      </c>
    </row>
    <row r="56" ht="15" customHeight="1">
      <c r="A56" s="9" t="inlineStr">
        <is>
          <t>UK</t>
        </is>
      </c>
      <c r="B56" s="9" t="inlineStr">
        <is>
          <t>Saxo+Wio</t>
        </is>
      </c>
      <c r="C56" s="15" t="inlineStr">
        <is>
          <t>Saxo</t>
        </is>
      </c>
      <c r="D56" s="15" t="inlineStr">
        <is>
          <t>Wio</t>
        </is>
      </c>
      <c r="E56" s="15" t="n"/>
      <c r="F56" s="9">
        <f>IF(OR(IF(C56="","", IFERROR(INDEX('Tax Residency Eligibility'!$B$4:$G$9,MATCH(C56,'Tax Residency Eligibility'!$A$4:$A$9,0),MATCH($A56,'Tax Residency Eligibility'!$B$3:$G$3,0)),"?"))="N",IF(D56="","", IFERROR(INDEX('Tax Residency Eligibility'!$B$4:$G$9,MATCH(D56,'Tax Residency Eligibility'!$A$4:$A$9,0),MATCH($A56,'Tax Residency Eligibility'!$B$3:$G$3,0)),"?"))="N",IF(E56="","", IFERROR(INDEX('Tax Residency Eligibility'!$B$4:$G$9,MATCH(E56,'Tax Residency Eligibility'!$A$4:$A$9,0),MATCH($A56,'Tax Residency Eligibility'!$B$3:$G$3,0)),"?"))="N"),"No",IF(OR(IF(C56="","", IFERROR(INDEX('Tax Residency Eligibility'!$B$4:$G$9,MATCH(C56,'Tax Residency Eligibility'!$A$4:$A$9,0),MATCH($A56,'Tax Residency Eligibility'!$B$3:$G$3,0)),"?"))="Check",IF(D56="","", IFERROR(INDEX('Tax Residency Eligibility'!$B$4:$G$9,MATCH(D56,'Tax Residency Eligibility'!$A$4:$A$9,0),MATCH($A56,'Tax Residency Eligibility'!$B$3:$G$3,0)),"?"))="Check",IF(E56="","", IFERROR(INDEX('Tax Residency Eligibility'!$B$4:$G$9,MATCH(E56,'Tax Residency Eligibility'!$A$4:$A$9,0),MATCH($A56,'Tax Residency Eligibility'!$B$3:$G$3,0)),"?"))="Check"),"Check directly","Yes"))</f>
        <v/>
      </c>
      <c r="G56" s="16">
        <f>IFERROR(VLOOKUP(C56,'Broker Fees'!$A$4:$G$9,7,0),0)+IF(D56="",0,IFERROR(VLOOKUP(D56,'Broker Fees'!$A$4:$G$9,7,0),0))+IF(E56="",0,IFERROR(VLOOKUP(E56,'Broker Fees'!$A$4:$G$9,7,0),0))</f>
        <v/>
      </c>
      <c r="H5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6" s="18">
        <f>VLOOKUP($A56,'Capital Gains Tax'!$A$4:$D$9,2,0)</f>
        <v/>
      </c>
      <c r="J56" s="18">
        <f>VLOOKUP($A56,'Capital Gains Tax'!$A$4:$D$9,3,0)</f>
        <v/>
      </c>
    </row>
    <row r="57" ht="15" customHeight="1">
      <c r="A57" s="9" t="inlineStr">
        <is>
          <t>UK</t>
        </is>
      </c>
      <c r="B57" s="9" t="inlineStr">
        <is>
          <t>Saxo+Exante</t>
        </is>
      </c>
      <c r="C57" s="15" t="inlineStr">
        <is>
          <t>Saxo</t>
        </is>
      </c>
      <c r="D57" s="15" t="inlineStr">
        <is>
          <t>Exante</t>
        </is>
      </c>
      <c r="E57" s="15" t="n"/>
      <c r="F57" s="9">
        <f>IF(OR(IF(C57="","", IFERROR(INDEX('Tax Residency Eligibility'!$B$4:$G$9,MATCH(C57,'Tax Residency Eligibility'!$A$4:$A$9,0),MATCH($A57,'Tax Residency Eligibility'!$B$3:$G$3,0)),"?"))="N",IF(D57="","", IFERROR(INDEX('Tax Residency Eligibility'!$B$4:$G$9,MATCH(D57,'Tax Residency Eligibility'!$A$4:$A$9,0),MATCH($A57,'Tax Residency Eligibility'!$B$3:$G$3,0)),"?"))="N",IF(E57="","", IFERROR(INDEX('Tax Residency Eligibility'!$B$4:$G$9,MATCH(E57,'Tax Residency Eligibility'!$A$4:$A$9,0),MATCH($A57,'Tax Residency Eligibility'!$B$3:$G$3,0)),"?"))="N"),"No",IF(OR(IF(C57="","", IFERROR(INDEX('Tax Residency Eligibility'!$B$4:$G$9,MATCH(C57,'Tax Residency Eligibility'!$A$4:$A$9,0),MATCH($A57,'Tax Residency Eligibility'!$B$3:$G$3,0)),"?"))="Check",IF(D57="","", IFERROR(INDEX('Tax Residency Eligibility'!$B$4:$G$9,MATCH(D57,'Tax Residency Eligibility'!$A$4:$A$9,0),MATCH($A57,'Tax Residency Eligibility'!$B$3:$G$3,0)),"?"))="Check",IF(E57="","", IFERROR(INDEX('Tax Residency Eligibility'!$B$4:$G$9,MATCH(E57,'Tax Residency Eligibility'!$A$4:$A$9,0),MATCH($A57,'Tax Residency Eligibility'!$B$3:$G$3,0)),"?"))="Check"),"Check directly","Yes"))</f>
        <v/>
      </c>
      <c r="G57" s="16">
        <f>IFERROR(VLOOKUP(C57,'Broker Fees'!$A$4:$G$9,7,0),0)+IF(D57="",0,IFERROR(VLOOKUP(D57,'Broker Fees'!$A$4:$G$9,7,0),0))+IF(E57="",0,IFERROR(VLOOKUP(E57,'Broker Fees'!$A$4:$G$9,7,0),0))</f>
        <v/>
      </c>
      <c r="H5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7" s="18">
        <f>VLOOKUP($A57,'Capital Gains Tax'!$A$4:$D$9,2,0)</f>
        <v/>
      </c>
      <c r="J57" s="18">
        <f>VLOOKUP($A57,'Capital Gains Tax'!$A$4:$D$9,3,0)</f>
        <v/>
      </c>
    </row>
    <row r="58" ht="15" customHeight="1">
      <c r="A58" s="9" t="inlineStr">
        <is>
          <t>UK</t>
        </is>
      </c>
      <c r="B58" s="9" t="inlineStr">
        <is>
          <t>Saxo+Swissquote</t>
        </is>
      </c>
      <c r="C58" s="15" t="inlineStr">
        <is>
          <t>Saxo</t>
        </is>
      </c>
      <c r="D58" s="15" t="inlineStr">
        <is>
          <t>Swissquote</t>
        </is>
      </c>
      <c r="E58" s="15" t="n"/>
      <c r="F58" s="9">
        <f>IF(OR(IF(C58="","", IFERROR(INDEX('Tax Residency Eligibility'!$B$4:$G$9,MATCH(C58,'Tax Residency Eligibility'!$A$4:$A$9,0),MATCH($A58,'Tax Residency Eligibility'!$B$3:$G$3,0)),"?"))="N",IF(D58="","", IFERROR(INDEX('Tax Residency Eligibility'!$B$4:$G$9,MATCH(D58,'Tax Residency Eligibility'!$A$4:$A$9,0),MATCH($A58,'Tax Residency Eligibility'!$B$3:$G$3,0)),"?"))="N",IF(E58="","", IFERROR(INDEX('Tax Residency Eligibility'!$B$4:$G$9,MATCH(E58,'Tax Residency Eligibility'!$A$4:$A$9,0),MATCH($A58,'Tax Residency Eligibility'!$B$3:$G$3,0)),"?"))="N"),"No",IF(OR(IF(C58="","", IFERROR(INDEX('Tax Residency Eligibility'!$B$4:$G$9,MATCH(C58,'Tax Residency Eligibility'!$A$4:$A$9,0),MATCH($A58,'Tax Residency Eligibility'!$B$3:$G$3,0)),"?"))="Check",IF(D58="","", IFERROR(INDEX('Tax Residency Eligibility'!$B$4:$G$9,MATCH(D58,'Tax Residency Eligibility'!$A$4:$A$9,0),MATCH($A58,'Tax Residency Eligibility'!$B$3:$G$3,0)),"?"))="Check",IF(E58="","", IFERROR(INDEX('Tax Residency Eligibility'!$B$4:$G$9,MATCH(E58,'Tax Residency Eligibility'!$A$4:$A$9,0),MATCH($A58,'Tax Residency Eligibility'!$B$3:$G$3,0)),"?"))="Check"),"Check directly","Yes"))</f>
        <v/>
      </c>
      <c r="G58" s="16">
        <f>IFERROR(VLOOKUP(C58,'Broker Fees'!$A$4:$G$9,7,0),0)+IF(D58="",0,IFERROR(VLOOKUP(D58,'Broker Fees'!$A$4:$G$9,7,0),0))+IF(E58="",0,IFERROR(VLOOKUP(E58,'Broker Fees'!$A$4:$G$9,7,0),0))</f>
        <v/>
      </c>
      <c r="H5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8" s="18">
        <f>VLOOKUP($A58,'Capital Gains Tax'!$A$4:$D$9,2,0)</f>
        <v/>
      </c>
      <c r="J58" s="18">
        <f>VLOOKUP($A58,'Capital Gains Tax'!$A$4:$D$9,3,0)</f>
        <v/>
      </c>
    </row>
    <row r="59" ht="15" customHeight="1">
      <c r="A59" s="9" t="inlineStr">
        <is>
          <t>UK</t>
        </is>
      </c>
      <c r="B59" s="9" t="inlineStr">
        <is>
          <t>Saxo+XTB</t>
        </is>
      </c>
      <c r="C59" s="15" t="inlineStr">
        <is>
          <t>Saxo</t>
        </is>
      </c>
      <c r="D59" s="15" t="inlineStr">
        <is>
          <t>XTB</t>
        </is>
      </c>
      <c r="E59" s="15" t="n"/>
      <c r="F59" s="9">
        <f>IF(OR(IF(C59="","", IFERROR(INDEX('Tax Residency Eligibility'!$B$4:$G$9,MATCH(C59,'Tax Residency Eligibility'!$A$4:$A$9,0),MATCH($A59,'Tax Residency Eligibility'!$B$3:$G$3,0)),"?"))="N",IF(D59="","", IFERROR(INDEX('Tax Residency Eligibility'!$B$4:$G$9,MATCH(D59,'Tax Residency Eligibility'!$A$4:$A$9,0),MATCH($A59,'Tax Residency Eligibility'!$B$3:$G$3,0)),"?"))="N",IF(E59="","", IFERROR(INDEX('Tax Residency Eligibility'!$B$4:$G$9,MATCH(E59,'Tax Residency Eligibility'!$A$4:$A$9,0),MATCH($A59,'Tax Residency Eligibility'!$B$3:$G$3,0)),"?"))="N"),"No",IF(OR(IF(C59="","", IFERROR(INDEX('Tax Residency Eligibility'!$B$4:$G$9,MATCH(C59,'Tax Residency Eligibility'!$A$4:$A$9,0),MATCH($A59,'Tax Residency Eligibility'!$B$3:$G$3,0)),"?"))="Check",IF(D59="","", IFERROR(INDEX('Tax Residency Eligibility'!$B$4:$G$9,MATCH(D59,'Tax Residency Eligibility'!$A$4:$A$9,0),MATCH($A59,'Tax Residency Eligibility'!$B$3:$G$3,0)),"?"))="Check",IF(E59="","", IFERROR(INDEX('Tax Residency Eligibility'!$B$4:$G$9,MATCH(E59,'Tax Residency Eligibility'!$A$4:$A$9,0),MATCH($A59,'Tax Residency Eligibility'!$B$3:$G$3,0)),"?"))="Check"),"Check directly","Yes"))</f>
        <v/>
      </c>
      <c r="G59" s="16">
        <f>IFERROR(VLOOKUP(C59,'Broker Fees'!$A$4:$G$9,7,0),0)+IF(D59="",0,IFERROR(VLOOKUP(D59,'Broker Fees'!$A$4:$G$9,7,0),0))+IF(E59="",0,IFERROR(VLOOKUP(E59,'Broker Fees'!$A$4:$G$9,7,0),0))</f>
        <v/>
      </c>
      <c r="H5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59" s="18">
        <f>VLOOKUP($A59,'Capital Gains Tax'!$A$4:$D$9,2,0)</f>
        <v/>
      </c>
      <c r="J59" s="18">
        <f>VLOOKUP($A59,'Capital Gains Tax'!$A$4:$D$9,3,0)</f>
        <v/>
      </c>
    </row>
    <row r="60" ht="15" customHeight="1">
      <c r="A60" s="9" t="inlineStr">
        <is>
          <t>UK</t>
        </is>
      </c>
      <c r="B60" s="9" t="inlineStr">
        <is>
          <t>Wio+Exante</t>
        </is>
      </c>
      <c r="C60" s="15" t="inlineStr">
        <is>
          <t>Wio</t>
        </is>
      </c>
      <c r="D60" s="15" t="inlineStr">
        <is>
          <t>Exante</t>
        </is>
      </c>
      <c r="E60" s="15" t="n"/>
      <c r="F60" s="9">
        <f>IF(OR(IF(C60="","", IFERROR(INDEX('Tax Residency Eligibility'!$B$4:$G$9,MATCH(C60,'Tax Residency Eligibility'!$A$4:$A$9,0),MATCH($A60,'Tax Residency Eligibility'!$B$3:$G$3,0)),"?"))="N",IF(D60="","", IFERROR(INDEX('Tax Residency Eligibility'!$B$4:$G$9,MATCH(D60,'Tax Residency Eligibility'!$A$4:$A$9,0),MATCH($A60,'Tax Residency Eligibility'!$B$3:$G$3,0)),"?"))="N",IF(E60="","", IFERROR(INDEX('Tax Residency Eligibility'!$B$4:$G$9,MATCH(E60,'Tax Residency Eligibility'!$A$4:$A$9,0),MATCH($A60,'Tax Residency Eligibility'!$B$3:$G$3,0)),"?"))="N"),"No",IF(OR(IF(C60="","", IFERROR(INDEX('Tax Residency Eligibility'!$B$4:$G$9,MATCH(C60,'Tax Residency Eligibility'!$A$4:$A$9,0),MATCH($A60,'Tax Residency Eligibility'!$B$3:$G$3,0)),"?"))="Check",IF(D60="","", IFERROR(INDEX('Tax Residency Eligibility'!$B$4:$G$9,MATCH(D60,'Tax Residency Eligibility'!$A$4:$A$9,0),MATCH($A60,'Tax Residency Eligibility'!$B$3:$G$3,0)),"?"))="Check",IF(E60="","", IFERROR(INDEX('Tax Residency Eligibility'!$B$4:$G$9,MATCH(E60,'Tax Residency Eligibility'!$A$4:$A$9,0),MATCH($A60,'Tax Residency Eligibility'!$B$3:$G$3,0)),"?"))="Check"),"Check directly","Yes"))</f>
        <v/>
      </c>
      <c r="G60" s="16">
        <f>IFERROR(VLOOKUP(C60,'Broker Fees'!$A$4:$G$9,7,0),0)+IF(D60="",0,IFERROR(VLOOKUP(D60,'Broker Fees'!$A$4:$G$9,7,0),0))+IF(E60="",0,IFERROR(VLOOKUP(E60,'Broker Fees'!$A$4:$G$9,7,0),0))</f>
        <v/>
      </c>
      <c r="H6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0" s="18">
        <f>VLOOKUP($A60,'Capital Gains Tax'!$A$4:$D$9,2,0)</f>
        <v/>
      </c>
      <c r="J60" s="18">
        <f>VLOOKUP($A60,'Capital Gains Tax'!$A$4:$D$9,3,0)</f>
        <v/>
      </c>
    </row>
    <row r="61" ht="15" customHeight="1">
      <c r="A61" s="9" t="inlineStr">
        <is>
          <t>UK</t>
        </is>
      </c>
      <c r="B61" s="9" t="inlineStr">
        <is>
          <t>Wio+Swissquote</t>
        </is>
      </c>
      <c r="C61" s="15" t="inlineStr">
        <is>
          <t>Wio</t>
        </is>
      </c>
      <c r="D61" s="15" t="inlineStr">
        <is>
          <t>Swissquote</t>
        </is>
      </c>
      <c r="E61" s="15" t="n"/>
      <c r="F61" s="9">
        <f>IF(OR(IF(C61="","", IFERROR(INDEX('Tax Residency Eligibility'!$B$4:$G$9,MATCH(C61,'Tax Residency Eligibility'!$A$4:$A$9,0),MATCH($A61,'Tax Residency Eligibility'!$B$3:$G$3,0)),"?"))="N",IF(D61="","", IFERROR(INDEX('Tax Residency Eligibility'!$B$4:$G$9,MATCH(D61,'Tax Residency Eligibility'!$A$4:$A$9,0),MATCH($A61,'Tax Residency Eligibility'!$B$3:$G$3,0)),"?"))="N",IF(E61="","", IFERROR(INDEX('Tax Residency Eligibility'!$B$4:$G$9,MATCH(E61,'Tax Residency Eligibility'!$A$4:$A$9,0),MATCH($A61,'Tax Residency Eligibility'!$B$3:$G$3,0)),"?"))="N"),"No",IF(OR(IF(C61="","", IFERROR(INDEX('Tax Residency Eligibility'!$B$4:$G$9,MATCH(C61,'Tax Residency Eligibility'!$A$4:$A$9,0),MATCH($A61,'Tax Residency Eligibility'!$B$3:$G$3,0)),"?"))="Check",IF(D61="","", IFERROR(INDEX('Tax Residency Eligibility'!$B$4:$G$9,MATCH(D61,'Tax Residency Eligibility'!$A$4:$A$9,0),MATCH($A61,'Tax Residency Eligibility'!$B$3:$G$3,0)),"?"))="Check",IF(E61="","", IFERROR(INDEX('Tax Residency Eligibility'!$B$4:$G$9,MATCH(E61,'Tax Residency Eligibility'!$A$4:$A$9,0),MATCH($A61,'Tax Residency Eligibility'!$B$3:$G$3,0)),"?"))="Check"),"Check directly","Yes"))</f>
        <v/>
      </c>
      <c r="G61" s="16">
        <f>IFERROR(VLOOKUP(C61,'Broker Fees'!$A$4:$G$9,7,0),0)+IF(D61="",0,IFERROR(VLOOKUP(D61,'Broker Fees'!$A$4:$G$9,7,0),0))+IF(E61="",0,IFERROR(VLOOKUP(E61,'Broker Fees'!$A$4:$G$9,7,0),0))</f>
        <v/>
      </c>
      <c r="H6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1" s="18">
        <f>VLOOKUP($A61,'Capital Gains Tax'!$A$4:$D$9,2,0)</f>
        <v/>
      </c>
      <c r="J61" s="18">
        <f>VLOOKUP($A61,'Capital Gains Tax'!$A$4:$D$9,3,0)</f>
        <v/>
      </c>
    </row>
    <row r="62" ht="15" customHeight="1">
      <c r="A62" s="9" t="inlineStr">
        <is>
          <t>UK</t>
        </is>
      </c>
      <c r="B62" s="9" t="inlineStr">
        <is>
          <t>Wio+XTB</t>
        </is>
      </c>
      <c r="C62" s="15" t="inlineStr">
        <is>
          <t>Wio</t>
        </is>
      </c>
      <c r="D62" s="15" t="inlineStr">
        <is>
          <t>XTB</t>
        </is>
      </c>
      <c r="E62" s="15" t="n"/>
      <c r="F62" s="9">
        <f>IF(OR(IF(C62="","", IFERROR(INDEX('Tax Residency Eligibility'!$B$4:$G$9,MATCH(C62,'Tax Residency Eligibility'!$A$4:$A$9,0),MATCH($A62,'Tax Residency Eligibility'!$B$3:$G$3,0)),"?"))="N",IF(D62="","", IFERROR(INDEX('Tax Residency Eligibility'!$B$4:$G$9,MATCH(D62,'Tax Residency Eligibility'!$A$4:$A$9,0),MATCH($A62,'Tax Residency Eligibility'!$B$3:$G$3,0)),"?"))="N",IF(E62="","", IFERROR(INDEX('Tax Residency Eligibility'!$B$4:$G$9,MATCH(E62,'Tax Residency Eligibility'!$A$4:$A$9,0),MATCH($A62,'Tax Residency Eligibility'!$B$3:$G$3,0)),"?"))="N"),"No",IF(OR(IF(C62="","", IFERROR(INDEX('Tax Residency Eligibility'!$B$4:$G$9,MATCH(C62,'Tax Residency Eligibility'!$A$4:$A$9,0),MATCH($A62,'Tax Residency Eligibility'!$B$3:$G$3,0)),"?"))="Check",IF(D62="","", IFERROR(INDEX('Tax Residency Eligibility'!$B$4:$G$9,MATCH(D62,'Tax Residency Eligibility'!$A$4:$A$9,0),MATCH($A62,'Tax Residency Eligibility'!$B$3:$G$3,0)),"?"))="Check",IF(E62="","", IFERROR(INDEX('Tax Residency Eligibility'!$B$4:$G$9,MATCH(E62,'Tax Residency Eligibility'!$A$4:$A$9,0),MATCH($A62,'Tax Residency Eligibility'!$B$3:$G$3,0)),"?"))="Check"),"Check directly","Yes"))</f>
        <v/>
      </c>
      <c r="G62" s="16">
        <f>IFERROR(VLOOKUP(C62,'Broker Fees'!$A$4:$G$9,7,0),0)+IF(D62="",0,IFERROR(VLOOKUP(D62,'Broker Fees'!$A$4:$G$9,7,0),0))+IF(E62="",0,IFERROR(VLOOKUP(E62,'Broker Fees'!$A$4:$G$9,7,0),0))</f>
        <v/>
      </c>
      <c r="H6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2" s="18">
        <f>VLOOKUP($A62,'Capital Gains Tax'!$A$4:$D$9,2,0)</f>
        <v/>
      </c>
      <c r="J62" s="18">
        <f>VLOOKUP($A62,'Capital Gains Tax'!$A$4:$D$9,3,0)</f>
        <v/>
      </c>
    </row>
    <row r="63" ht="15" customHeight="1">
      <c r="A63" s="9" t="inlineStr">
        <is>
          <t>UK</t>
        </is>
      </c>
      <c r="B63" s="9" t="inlineStr">
        <is>
          <t>Exante+Swissquote</t>
        </is>
      </c>
      <c r="C63" s="15" t="inlineStr">
        <is>
          <t>Exante</t>
        </is>
      </c>
      <c r="D63" s="15" t="inlineStr">
        <is>
          <t>Swissquote</t>
        </is>
      </c>
      <c r="E63" s="15" t="n"/>
      <c r="F63" s="9">
        <f>IF(OR(IF(C63="","", IFERROR(INDEX('Tax Residency Eligibility'!$B$4:$G$9,MATCH(C63,'Tax Residency Eligibility'!$A$4:$A$9,0),MATCH($A63,'Tax Residency Eligibility'!$B$3:$G$3,0)),"?"))="N",IF(D63="","", IFERROR(INDEX('Tax Residency Eligibility'!$B$4:$G$9,MATCH(D63,'Tax Residency Eligibility'!$A$4:$A$9,0),MATCH($A63,'Tax Residency Eligibility'!$B$3:$G$3,0)),"?"))="N",IF(E63="","", IFERROR(INDEX('Tax Residency Eligibility'!$B$4:$G$9,MATCH(E63,'Tax Residency Eligibility'!$A$4:$A$9,0),MATCH($A63,'Tax Residency Eligibility'!$B$3:$G$3,0)),"?"))="N"),"No",IF(OR(IF(C63="","", IFERROR(INDEX('Tax Residency Eligibility'!$B$4:$G$9,MATCH(C63,'Tax Residency Eligibility'!$A$4:$A$9,0),MATCH($A63,'Tax Residency Eligibility'!$B$3:$G$3,0)),"?"))="Check",IF(D63="","", IFERROR(INDEX('Tax Residency Eligibility'!$B$4:$G$9,MATCH(D63,'Tax Residency Eligibility'!$A$4:$A$9,0),MATCH($A63,'Tax Residency Eligibility'!$B$3:$G$3,0)),"?"))="Check",IF(E63="","", IFERROR(INDEX('Tax Residency Eligibility'!$B$4:$G$9,MATCH(E63,'Tax Residency Eligibility'!$A$4:$A$9,0),MATCH($A63,'Tax Residency Eligibility'!$B$3:$G$3,0)),"?"))="Check"),"Check directly","Yes"))</f>
        <v/>
      </c>
      <c r="G63" s="16">
        <f>IFERROR(VLOOKUP(C63,'Broker Fees'!$A$4:$G$9,7,0),0)+IF(D63="",0,IFERROR(VLOOKUP(D63,'Broker Fees'!$A$4:$G$9,7,0),0))+IF(E63="",0,IFERROR(VLOOKUP(E63,'Broker Fees'!$A$4:$G$9,7,0),0))</f>
        <v/>
      </c>
      <c r="H6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3" s="18">
        <f>VLOOKUP($A63,'Capital Gains Tax'!$A$4:$D$9,2,0)</f>
        <v/>
      </c>
      <c r="J63" s="18">
        <f>VLOOKUP($A63,'Capital Gains Tax'!$A$4:$D$9,3,0)</f>
        <v/>
      </c>
    </row>
    <row r="64" ht="15" customHeight="1">
      <c r="A64" s="9" t="inlineStr">
        <is>
          <t>UK</t>
        </is>
      </c>
      <c r="B64" s="9" t="inlineStr">
        <is>
          <t>Exante+XTB</t>
        </is>
      </c>
      <c r="C64" s="15" t="inlineStr">
        <is>
          <t>Exante</t>
        </is>
      </c>
      <c r="D64" s="15" t="inlineStr">
        <is>
          <t>XTB</t>
        </is>
      </c>
      <c r="E64" s="15" t="n"/>
      <c r="F64" s="9">
        <f>IF(OR(IF(C64="","", IFERROR(INDEX('Tax Residency Eligibility'!$B$4:$G$9,MATCH(C64,'Tax Residency Eligibility'!$A$4:$A$9,0),MATCH($A64,'Tax Residency Eligibility'!$B$3:$G$3,0)),"?"))="N",IF(D64="","", IFERROR(INDEX('Tax Residency Eligibility'!$B$4:$G$9,MATCH(D64,'Tax Residency Eligibility'!$A$4:$A$9,0),MATCH($A64,'Tax Residency Eligibility'!$B$3:$G$3,0)),"?"))="N",IF(E64="","", IFERROR(INDEX('Tax Residency Eligibility'!$B$4:$G$9,MATCH(E64,'Tax Residency Eligibility'!$A$4:$A$9,0),MATCH($A64,'Tax Residency Eligibility'!$B$3:$G$3,0)),"?"))="N"),"No",IF(OR(IF(C64="","", IFERROR(INDEX('Tax Residency Eligibility'!$B$4:$G$9,MATCH(C64,'Tax Residency Eligibility'!$A$4:$A$9,0),MATCH($A64,'Tax Residency Eligibility'!$B$3:$G$3,0)),"?"))="Check",IF(D64="","", IFERROR(INDEX('Tax Residency Eligibility'!$B$4:$G$9,MATCH(D64,'Tax Residency Eligibility'!$A$4:$A$9,0),MATCH($A64,'Tax Residency Eligibility'!$B$3:$G$3,0)),"?"))="Check",IF(E64="","", IFERROR(INDEX('Tax Residency Eligibility'!$B$4:$G$9,MATCH(E64,'Tax Residency Eligibility'!$A$4:$A$9,0),MATCH($A64,'Tax Residency Eligibility'!$B$3:$G$3,0)),"?"))="Check"),"Check directly","Yes"))</f>
        <v/>
      </c>
      <c r="G64" s="16">
        <f>IFERROR(VLOOKUP(C64,'Broker Fees'!$A$4:$G$9,7,0),0)+IF(D64="",0,IFERROR(VLOOKUP(D64,'Broker Fees'!$A$4:$G$9,7,0),0))+IF(E64="",0,IFERROR(VLOOKUP(E64,'Broker Fees'!$A$4:$G$9,7,0),0))</f>
        <v/>
      </c>
      <c r="H6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4" s="18">
        <f>VLOOKUP($A64,'Capital Gains Tax'!$A$4:$D$9,2,0)</f>
        <v/>
      </c>
      <c r="J64" s="18">
        <f>VLOOKUP($A64,'Capital Gains Tax'!$A$4:$D$9,3,0)</f>
        <v/>
      </c>
    </row>
    <row r="65" ht="15" customHeight="1">
      <c r="A65" s="9" t="inlineStr">
        <is>
          <t>UK</t>
        </is>
      </c>
      <c r="B65" s="9" t="inlineStr">
        <is>
          <t>Swissquote+XTB</t>
        </is>
      </c>
      <c r="C65" s="15" t="inlineStr">
        <is>
          <t>Swissquote</t>
        </is>
      </c>
      <c r="D65" s="15" t="inlineStr">
        <is>
          <t>XTB</t>
        </is>
      </c>
      <c r="E65" s="15" t="n"/>
      <c r="F65" s="9">
        <f>IF(OR(IF(C65="","", IFERROR(INDEX('Tax Residency Eligibility'!$B$4:$G$9,MATCH(C65,'Tax Residency Eligibility'!$A$4:$A$9,0),MATCH($A65,'Tax Residency Eligibility'!$B$3:$G$3,0)),"?"))="N",IF(D65="","", IFERROR(INDEX('Tax Residency Eligibility'!$B$4:$G$9,MATCH(D65,'Tax Residency Eligibility'!$A$4:$A$9,0),MATCH($A65,'Tax Residency Eligibility'!$B$3:$G$3,0)),"?"))="N",IF(E65="","", IFERROR(INDEX('Tax Residency Eligibility'!$B$4:$G$9,MATCH(E65,'Tax Residency Eligibility'!$A$4:$A$9,0),MATCH($A65,'Tax Residency Eligibility'!$B$3:$G$3,0)),"?"))="N"),"No",IF(OR(IF(C65="","", IFERROR(INDEX('Tax Residency Eligibility'!$B$4:$G$9,MATCH(C65,'Tax Residency Eligibility'!$A$4:$A$9,0),MATCH($A65,'Tax Residency Eligibility'!$B$3:$G$3,0)),"?"))="Check",IF(D65="","", IFERROR(INDEX('Tax Residency Eligibility'!$B$4:$G$9,MATCH(D65,'Tax Residency Eligibility'!$A$4:$A$9,0),MATCH($A65,'Tax Residency Eligibility'!$B$3:$G$3,0)),"?"))="Check",IF(E65="","", IFERROR(INDEX('Tax Residency Eligibility'!$B$4:$G$9,MATCH(E65,'Tax Residency Eligibility'!$A$4:$A$9,0),MATCH($A65,'Tax Residency Eligibility'!$B$3:$G$3,0)),"?"))="Check"),"Check directly","Yes"))</f>
        <v/>
      </c>
      <c r="G65" s="16">
        <f>IFERROR(VLOOKUP(C65,'Broker Fees'!$A$4:$G$9,7,0),0)+IF(D65="",0,IFERROR(VLOOKUP(D65,'Broker Fees'!$A$4:$G$9,7,0),0))+IF(E65="",0,IFERROR(VLOOKUP(E65,'Broker Fees'!$A$4:$G$9,7,0),0))</f>
        <v/>
      </c>
      <c r="H6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5" s="18">
        <f>VLOOKUP($A65,'Capital Gains Tax'!$A$4:$D$9,2,0)</f>
        <v/>
      </c>
      <c r="J65" s="18">
        <f>VLOOKUP($A65,'Capital Gains Tax'!$A$4:$D$9,3,0)</f>
        <v/>
      </c>
    </row>
    <row r="66" ht="15" customHeight="1">
      <c r="A66" s="9" t="inlineStr">
        <is>
          <t>UK</t>
        </is>
      </c>
      <c r="B66" s="9" t="inlineStr">
        <is>
          <t>IBKR+Saxo+Wio</t>
        </is>
      </c>
      <c r="C66" s="15" t="inlineStr">
        <is>
          <t>IBKR</t>
        </is>
      </c>
      <c r="D66" s="15" t="inlineStr">
        <is>
          <t>Saxo</t>
        </is>
      </c>
      <c r="E66" s="15" t="inlineStr">
        <is>
          <t>Wio</t>
        </is>
      </c>
      <c r="F66" s="9">
        <f>IF(OR(IF(C66="","", IFERROR(INDEX('Tax Residency Eligibility'!$B$4:$G$9,MATCH(C66,'Tax Residency Eligibility'!$A$4:$A$9,0),MATCH($A66,'Tax Residency Eligibility'!$B$3:$G$3,0)),"?"))="N",IF(D66="","", IFERROR(INDEX('Tax Residency Eligibility'!$B$4:$G$9,MATCH(D66,'Tax Residency Eligibility'!$A$4:$A$9,0),MATCH($A66,'Tax Residency Eligibility'!$B$3:$G$3,0)),"?"))="N",IF(E66="","", IFERROR(INDEX('Tax Residency Eligibility'!$B$4:$G$9,MATCH(E66,'Tax Residency Eligibility'!$A$4:$A$9,0),MATCH($A66,'Tax Residency Eligibility'!$B$3:$G$3,0)),"?"))="N"),"No",IF(OR(IF(C66="","", IFERROR(INDEX('Tax Residency Eligibility'!$B$4:$G$9,MATCH(C66,'Tax Residency Eligibility'!$A$4:$A$9,0),MATCH($A66,'Tax Residency Eligibility'!$B$3:$G$3,0)),"?"))="Check",IF(D66="","", IFERROR(INDEX('Tax Residency Eligibility'!$B$4:$G$9,MATCH(D66,'Tax Residency Eligibility'!$A$4:$A$9,0),MATCH($A66,'Tax Residency Eligibility'!$B$3:$G$3,0)),"?"))="Check",IF(E66="","", IFERROR(INDEX('Tax Residency Eligibility'!$B$4:$G$9,MATCH(E66,'Tax Residency Eligibility'!$A$4:$A$9,0),MATCH($A66,'Tax Residency Eligibility'!$B$3:$G$3,0)),"?"))="Check"),"Check directly","Yes"))</f>
        <v/>
      </c>
      <c r="G66" s="16">
        <f>IFERROR(VLOOKUP(C66,'Broker Fees'!$A$4:$G$9,7,0),0)+IF(D66="",0,IFERROR(VLOOKUP(D66,'Broker Fees'!$A$4:$G$9,7,0),0))+IF(E66="",0,IFERROR(VLOOKUP(E66,'Broker Fees'!$A$4:$G$9,7,0),0))</f>
        <v/>
      </c>
      <c r="H6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6" s="18">
        <f>VLOOKUP($A66,'Capital Gains Tax'!$A$4:$D$9,2,0)</f>
        <v/>
      </c>
      <c r="J66" s="18">
        <f>VLOOKUP($A66,'Capital Gains Tax'!$A$4:$D$9,3,0)</f>
        <v/>
      </c>
    </row>
    <row r="67" ht="15" customHeight="1">
      <c r="A67" s="9" t="inlineStr">
        <is>
          <t>UK</t>
        </is>
      </c>
      <c r="B67" s="9" t="inlineStr">
        <is>
          <t>IBKR+Saxo+Exante</t>
        </is>
      </c>
      <c r="C67" s="15" t="inlineStr">
        <is>
          <t>IBKR</t>
        </is>
      </c>
      <c r="D67" s="15" t="inlineStr">
        <is>
          <t>Saxo</t>
        </is>
      </c>
      <c r="E67" s="15" t="inlineStr">
        <is>
          <t>Exante</t>
        </is>
      </c>
      <c r="F67" s="9">
        <f>IF(OR(IF(C67="","", IFERROR(INDEX('Tax Residency Eligibility'!$B$4:$G$9,MATCH(C67,'Tax Residency Eligibility'!$A$4:$A$9,0),MATCH($A67,'Tax Residency Eligibility'!$B$3:$G$3,0)),"?"))="N",IF(D67="","", IFERROR(INDEX('Tax Residency Eligibility'!$B$4:$G$9,MATCH(D67,'Tax Residency Eligibility'!$A$4:$A$9,0),MATCH($A67,'Tax Residency Eligibility'!$B$3:$G$3,0)),"?"))="N",IF(E67="","", IFERROR(INDEX('Tax Residency Eligibility'!$B$4:$G$9,MATCH(E67,'Tax Residency Eligibility'!$A$4:$A$9,0),MATCH($A67,'Tax Residency Eligibility'!$B$3:$G$3,0)),"?"))="N"),"No",IF(OR(IF(C67="","", IFERROR(INDEX('Tax Residency Eligibility'!$B$4:$G$9,MATCH(C67,'Tax Residency Eligibility'!$A$4:$A$9,0),MATCH($A67,'Tax Residency Eligibility'!$B$3:$G$3,0)),"?"))="Check",IF(D67="","", IFERROR(INDEX('Tax Residency Eligibility'!$B$4:$G$9,MATCH(D67,'Tax Residency Eligibility'!$A$4:$A$9,0),MATCH($A67,'Tax Residency Eligibility'!$B$3:$G$3,0)),"?"))="Check",IF(E67="","", IFERROR(INDEX('Tax Residency Eligibility'!$B$4:$G$9,MATCH(E67,'Tax Residency Eligibility'!$A$4:$A$9,0),MATCH($A67,'Tax Residency Eligibility'!$B$3:$G$3,0)),"?"))="Check"),"Check directly","Yes"))</f>
        <v/>
      </c>
      <c r="G67" s="16">
        <f>IFERROR(VLOOKUP(C67,'Broker Fees'!$A$4:$G$9,7,0),0)+IF(D67="",0,IFERROR(VLOOKUP(D67,'Broker Fees'!$A$4:$G$9,7,0),0))+IF(E67="",0,IFERROR(VLOOKUP(E67,'Broker Fees'!$A$4:$G$9,7,0),0))</f>
        <v/>
      </c>
      <c r="H6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7" s="18">
        <f>VLOOKUP($A67,'Capital Gains Tax'!$A$4:$D$9,2,0)</f>
        <v/>
      </c>
      <c r="J67" s="18">
        <f>VLOOKUP($A67,'Capital Gains Tax'!$A$4:$D$9,3,0)</f>
        <v/>
      </c>
    </row>
    <row r="68" ht="15" customHeight="1">
      <c r="A68" s="9" t="inlineStr">
        <is>
          <t>UK</t>
        </is>
      </c>
      <c r="B68" s="9" t="inlineStr">
        <is>
          <t>IBKR+Saxo+Swissquote</t>
        </is>
      </c>
      <c r="C68" s="15" t="inlineStr">
        <is>
          <t>IBKR</t>
        </is>
      </c>
      <c r="D68" s="15" t="inlineStr">
        <is>
          <t>Saxo</t>
        </is>
      </c>
      <c r="E68" s="15" t="inlineStr">
        <is>
          <t>Swissquote</t>
        </is>
      </c>
      <c r="F68" s="9">
        <f>IF(OR(IF(C68="","", IFERROR(INDEX('Tax Residency Eligibility'!$B$4:$G$9,MATCH(C68,'Tax Residency Eligibility'!$A$4:$A$9,0),MATCH($A68,'Tax Residency Eligibility'!$B$3:$G$3,0)),"?"))="N",IF(D68="","", IFERROR(INDEX('Tax Residency Eligibility'!$B$4:$G$9,MATCH(D68,'Tax Residency Eligibility'!$A$4:$A$9,0),MATCH($A68,'Tax Residency Eligibility'!$B$3:$G$3,0)),"?"))="N",IF(E68="","", IFERROR(INDEX('Tax Residency Eligibility'!$B$4:$G$9,MATCH(E68,'Tax Residency Eligibility'!$A$4:$A$9,0),MATCH($A68,'Tax Residency Eligibility'!$B$3:$G$3,0)),"?"))="N"),"No",IF(OR(IF(C68="","", IFERROR(INDEX('Tax Residency Eligibility'!$B$4:$G$9,MATCH(C68,'Tax Residency Eligibility'!$A$4:$A$9,0),MATCH($A68,'Tax Residency Eligibility'!$B$3:$G$3,0)),"?"))="Check",IF(D68="","", IFERROR(INDEX('Tax Residency Eligibility'!$B$4:$G$9,MATCH(D68,'Tax Residency Eligibility'!$A$4:$A$9,0),MATCH($A68,'Tax Residency Eligibility'!$B$3:$G$3,0)),"?"))="Check",IF(E68="","", IFERROR(INDEX('Tax Residency Eligibility'!$B$4:$G$9,MATCH(E68,'Tax Residency Eligibility'!$A$4:$A$9,0),MATCH($A68,'Tax Residency Eligibility'!$B$3:$G$3,0)),"?"))="Check"),"Check directly","Yes"))</f>
        <v/>
      </c>
      <c r="G68" s="16">
        <f>IFERROR(VLOOKUP(C68,'Broker Fees'!$A$4:$G$9,7,0),0)+IF(D68="",0,IFERROR(VLOOKUP(D68,'Broker Fees'!$A$4:$G$9,7,0),0))+IF(E68="",0,IFERROR(VLOOKUP(E68,'Broker Fees'!$A$4:$G$9,7,0),0))</f>
        <v/>
      </c>
      <c r="H6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8" s="18">
        <f>VLOOKUP($A68,'Capital Gains Tax'!$A$4:$D$9,2,0)</f>
        <v/>
      </c>
      <c r="J68" s="18">
        <f>VLOOKUP($A68,'Capital Gains Tax'!$A$4:$D$9,3,0)</f>
        <v/>
      </c>
    </row>
    <row r="69" ht="15" customHeight="1">
      <c r="A69" s="9" t="inlineStr">
        <is>
          <t>UK</t>
        </is>
      </c>
      <c r="B69" s="9" t="inlineStr">
        <is>
          <t>IBKR+Saxo+XTB</t>
        </is>
      </c>
      <c r="C69" s="15" t="inlineStr">
        <is>
          <t>IBKR</t>
        </is>
      </c>
      <c r="D69" s="15" t="inlineStr">
        <is>
          <t>Saxo</t>
        </is>
      </c>
      <c r="E69" s="15" t="inlineStr">
        <is>
          <t>XTB</t>
        </is>
      </c>
      <c r="F69" s="9">
        <f>IF(OR(IF(C69="","", IFERROR(INDEX('Tax Residency Eligibility'!$B$4:$G$9,MATCH(C69,'Tax Residency Eligibility'!$A$4:$A$9,0),MATCH($A69,'Tax Residency Eligibility'!$B$3:$G$3,0)),"?"))="N",IF(D69="","", IFERROR(INDEX('Tax Residency Eligibility'!$B$4:$G$9,MATCH(D69,'Tax Residency Eligibility'!$A$4:$A$9,0),MATCH($A69,'Tax Residency Eligibility'!$B$3:$G$3,0)),"?"))="N",IF(E69="","", IFERROR(INDEX('Tax Residency Eligibility'!$B$4:$G$9,MATCH(E69,'Tax Residency Eligibility'!$A$4:$A$9,0),MATCH($A69,'Tax Residency Eligibility'!$B$3:$G$3,0)),"?"))="N"),"No",IF(OR(IF(C69="","", IFERROR(INDEX('Tax Residency Eligibility'!$B$4:$G$9,MATCH(C69,'Tax Residency Eligibility'!$A$4:$A$9,0),MATCH($A69,'Tax Residency Eligibility'!$B$3:$G$3,0)),"?"))="Check",IF(D69="","", IFERROR(INDEX('Tax Residency Eligibility'!$B$4:$G$9,MATCH(D69,'Tax Residency Eligibility'!$A$4:$A$9,0),MATCH($A69,'Tax Residency Eligibility'!$B$3:$G$3,0)),"?"))="Check",IF(E69="","", IFERROR(INDEX('Tax Residency Eligibility'!$B$4:$G$9,MATCH(E69,'Tax Residency Eligibility'!$A$4:$A$9,0),MATCH($A69,'Tax Residency Eligibility'!$B$3:$G$3,0)),"?"))="Check"),"Check directly","Yes"))</f>
        <v/>
      </c>
      <c r="G69" s="16">
        <f>IFERROR(VLOOKUP(C69,'Broker Fees'!$A$4:$G$9,7,0),0)+IF(D69="",0,IFERROR(VLOOKUP(D69,'Broker Fees'!$A$4:$G$9,7,0),0))+IF(E69="",0,IFERROR(VLOOKUP(E69,'Broker Fees'!$A$4:$G$9,7,0),0))</f>
        <v/>
      </c>
      <c r="H6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69" s="18">
        <f>VLOOKUP($A69,'Capital Gains Tax'!$A$4:$D$9,2,0)</f>
        <v/>
      </c>
      <c r="J69" s="18">
        <f>VLOOKUP($A69,'Capital Gains Tax'!$A$4:$D$9,3,0)</f>
        <v/>
      </c>
    </row>
    <row r="70" ht="15" customHeight="1">
      <c r="A70" s="9" t="inlineStr">
        <is>
          <t>UK</t>
        </is>
      </c>
      <c r="B70" s="9" t="inlineStr">
        <is>
          <t>IBKR+Wio+Exante</t>
        </is>
      </c>
      <c r="C70" s="15" t="inlineStr">
        <is>
          <t>IBKR</t>
        </is>
      </c>
      <c r="D70" s="15" t="inlineStr">
        <is>
          <t>Wio</t>
        </is>
      </c>
      <c r="E70" s="15" t="inlineStr">
        <is>
          <t>Exante</t>
        </is>
      </c>
      <c r="F70" s="9">
        <f>IF(OR(IF(C70="","", IFERROR(INDEX('Tax Residency Eligibility'!$B$4:$G$9,MATCH(C70,'Tax Residency Eligibility'!$A$4:$A$9,0),MATCH($A70,'Tax Residency Eligibility'!$B$3:$G$3,0)),"?"))="N",IF(D70="","", IFERROR(INDEX('Tax Residency Eligibility'!$B$4:$G$9,MATCH(D70,'Tax Residency Eligibility'!$A$4:$A$9,0),MATCH($A70,'Tax Residency Eligibility'!$B$3:$G$3,0)),"?"))="N",IF(E70="","", IFERROR(INDEX('Tax Residency Eligibility'!$B$4:$G$9,MATCH(E70,'Tax Residency Eligibility'!$A$4:$A$9,0),MATCH($A70,'Tax Residency Eligibility'!$B$3:$G$3,0)),"?"))="N"),"No",IF(OR(IF(C70="","", IFERROR(INDEX('Tax Residency Eligibility'!$B$4:$G$9,MATCH(C70,'Tax Residency Eligibility'!$A$4:$A$9,0),MATCH($A70,'Tax Residency Eligibility'!$B$3:$G$3,0)),"?"))="Check",IF(D70="","", IFERROR(INDEX('Tax Residency Eligibility'!$B$4:$G$9,MATCH(D70,'Tax Residency Eligibility'!$A$4:$A$9,0),MATCH($A70,'Tax Residency Eligibility'!$B$3:$G$3,0)),"?"))="Check",IF(E70="","", IFERROR(INDEX('Tax Residency Eligibility'!$B$4:$G$9,MATCH(E70,'Tax Residency Eligibility'!$A$4:$A$9,0),MATCH($A70,'Tax Residency Eligibility'!$B$3:$G$3,0)),"?"))="Check"),"Check directly","Yes"))</f>
        <v/>
      </c>
      <c r="G70" s="16">
        <f>IFERROR(VLOOKUP(C70,'Broker Fees'!$A$4:$G$9,7,0),0)+IF(D70="",0,IFERROR(VLOOKUP(D70,'Broker Fees'!$A$4:$G$9,7,0),0))+IF(E70="",0,IFERROR(VLOOKUP(E70,'Broker Fees'!$A$4:$G$9,7,0),0))</f>
        <v/>
      </c>
      <c r="H7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0" s="18">
        <f>VLOOKUP($A70,'Capital Gains Tax'!$A$4:$D$9,2,0)</f>
        <v/>
      </c>
      <c r="J70" s="18">
        <f>VLOOKUP($A70,'Capital Gains Tax'!$A$4:$D$9,3,0)</f>
        <v/>
      </c>
    </row>
    <row r="71" ht="15" customHeight="1">
      <c r="A71" s="9" t="inlineStr">
        <is>
          <t>UK</t>
        </is>
      </c>
      <c r="B71" s="9" t="inlineStr">
        <is>
          <t>IBKR+Wio+Swissquote</t>
        </is>
      </c>
      <c r="C71" s="15" t="inlineStr">
        <is>
          <t>IBKR</t>
        </is>
      </c>
      <c r="D71" s="15" t="inlineStr">
        <is>
          <t>Wio</t>
        </is>
      </c>
      <c r="E71" s="15" t="inlineStr">
        <is>
          <t>Swissquote</t>
        </is>
      </c>
      <c r="F71" s="9">
        <f>IF(OR(IF(C71="","", IFERROR(INDEX('Tax Residency Eligibility'!$B$4:$G$9,MATCH(C71,'Tax Residency Eligibility'!$A$4:$A$9,0),MATCH($A71,'Tax Residency Eligibility'!$B$3:$G$3,0)),"?"))="N",IF(D71="","", IFERROR(INDEX('Tax Residency Eligibility'!$B$4:$G$9,MATCH(D71,'Tax Residency Eligibility'!$A$4:$A$9,0),MATCH($A71,'Tax Residency Eligibility'!$B$3:$G$3,0)),"?"))="N",IF(E71="","", IFERROR(INDEX('Tax Residency Eligibility'!$B$4:$G$9,MATCH(E71,'Tax Residency Eligibility'!$A$4:$A$9,0),MATCH($A71,'Tax Residency Eligibility'!$B$3:$G$3,0)),"?"))="N"),"No",IF(OR(IF(C71="","", IFERROR(INDEX('Tax Residency Eligibility'!$B$4:$G$9,MATCH(C71,'Tax Residency Eligibility'!$A$4:$A$9,0),MATCH($A71,'Tax Residency Eligibility'!$B$3:$G$3,0)),"?"))="Check",IF(D71="","", IFERROR(INDEX('Tax Residency Eligibility'!$B$4:$G$9,MATCH(D71,'Tax Residency Eligibility'!$A$4:$A$9,0),MATCH($A71,'Tax Residency Eligibility'!$B$3:$G$3,0)),"?"))="Check",IF(E71="","", IFERROR(INDEX('Tax Residency Eligibility'!$B$4:$G$9,MATCH(E71,'Tax Residency Eligibility'!$A$4:$A$9,0),MATCH($A71,'Tax Residency Eligibility'!$B$3:$G$3,0)),"?"))="Check"),"Check directly","Yes"))</f>
        <v/>
      </c>
      <c r="G71" s="16">
        <f>IFERROR(VLOOKUP(C71,'Broker Fees'!$A$4:$G$9,7,0),0)+IF(D71="",0,IFERROR(VLOOKUP(D71,'Broker Fees'!$A$4:$G$9,7,0),0))+IF(E71="",0,IFERROR(VLOOKUP(E71,'Broker Fees'!$A$4:$G$9,7,0),0))</f>
        <v/>
      </c>
      <c r="H7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1" s="18">
        <f>VLOOKUP($A71,'Capital Gains Tax'!$A$4:$D$9,2,0)</f>
        <v/>
      </c>
      <c r="J71" s="18">
        <f>VLOOKUP($A71,'Capital Gains Tax'!$A$4:$D$9,3,0)</f>
        <v/>
      </c>
    </row>
    <row r="72" ht="15" customHeight="1">
      <c r="A72" s="9" t="inlineStr">
        <is>
          <t>UK</t>
        </is>
      </c>
      <c r="B72" s="9" t="inlineStr">
        <is>
          <t>IBKR+Wio+XTB</t>
        </is>
      </c>
      <c r="C72" s="15" t="inlineStr">
        <is>
          <t>IBKR</t>
        </is>
      </c>
      <c r="D72" s="15" t="inlineStr">
        <is>
          <t>Wio</t>
        </is>
      </c>
      <c r="E72" s="15" t="inlineStr">
        <is>
          <t>XTB</t>
        </is>
      </c>
      <c r="F72" s="9">
        <f>IF(OR(IF(C72="","", IFERROR(INDEX('Tax Residency Eligibility'!$B$4:$G$9,MATCH(C72,'Tax Residency Eligibility'!$A$4:$A$9,0),MATCH($A72,'Tax Residency Eligibility'!$B$3:$G$3,0)),"?"))="N",IF(D72="","", IFERROR(INDEX('Tax Residency Eligibility'!$B$4:$G$9,MATCH(D72,'Tax Residency Eligibility'!$A$4:$A$9,0),MATCH($A72,'Tax Residency Eligibility'!$B$3:$G$3,0)),"?"))="N",IF(E72="","", IFERROR(INDEX('Tax Residency Eligibility'!$B$4:$G$9,MATCH(E72,'Tax Residency Eligibility'!$A$4:$A$9,0),MATCH($A72,'Tax Residency Eligibility'!$B$3:$G$3,0)),"?"))="N"),"No",IF(OR(IF(C72="","", IFERROR(INDEX('Tax Residency Eligibility'!$B$4:$G$9,MATCH(C72,'Tax Residency Eligibility'!$A$4:$A$9,0),MATCH($A72,'Tax Residency Eligibility'!$B$3:$G$3,0)),"?"))="Check",IF(D72="","", IFERROR(INDEX('Tax Residency Eligibility'!$B$4:$G$9,MATCH(D72,'Tax Residency Eligibility'!$A$4:$A$9,0),MATCH($A72,'Tax Residency Eligibility'!$B$3:$G$3,0)),"?"))="Check",IF(E72="","", IFERROR(INDEX('Tax Residency Eligibility'!$B$4:$G$9,MATCH(E72,'Tax Residency Eligibility'!$A$4:$A$9,0),MATCH($A72,'Tax Residency Eligibility'!$B$3:$G$3,0)),"?"))="Check"),"Check directly","Yes"))</f>
        <v/>
      </c>
      <c r="G72" s="16">
        <f>IFERROR(VLOOKUP(C72,'Broker Fees'!$A$4:$G$9,7,0),0)+IF(D72="",0,IFERROR(VLOOKUP(D72,'Broker Fees'!$A$4:$G$9,7,0),0))+IF(E72="",0,IFERROR(VLOOKUP(E72,'Broker Fees'!$A$4:$G$9,7,0),0))</f>
        <v/>
      </c>
      <c r="H7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2" s="18">
        <f>VLOOKUP($A72,'Capital Gains Tax'!$A$4:$D$9,2,0)</f>
        <v/>
      </c>
      <c r="J72" s="18">
        <f>VLOOKUP($A72,'Capital Gains Tax'!$A$4:$D$9,3,0)</f>
        <v/>
      </c>
    </row>
    <row r="73" ht="15" customHeight="1">
      <c r="A73" s="9" t="inlineStr">
        <is>
          <t>UK</t>
        </is>
      </c>
      <c r="B73" s="9" t="inlineStr">
        <is>
          <t>IBKR+Exante+Swissquote</t>
        </is>
      </c>
      <c r="C73" s="15" t="inlineStr">
        <is>
          <t>IBKR</t>
        </is>
      </c>
      <c r="D73" s="15" t="inlineStr">
        <is>
          <t>Exante</t>
        </is>
      </c>
      <c r="E73" s="15" t="inlineStr">
        <is>
          <t>Swissquote</t>
        </is>
      </c>
      <c r="F73" s="9">
        <f>IF(OR(IF(C73="","", IFERROR(INDEX('Tax Residency Eligibility'!$B$4:$G$9,MATCH(C73,'Tax Residency Eligibility'!$A$4:$A$9,0),MATCH($A73,'Tax Residency Eligibility'!$B$3:$G$3,0)),"?"))="N",IF(D73="","", IFERROR(INDEX('Tax Residency Eligibility'!$B$4:$G$9,MATCH(D73,'Tax Residency Eligibility'!$A$4:$A$9,0),MATCH($A73,'Tax Residency Eligibility'!$B$3:$G$3,0)),"?"))="N",IF(E73="","", IFERROR(INDEX('Tax Residency Eligibility'!$B$4:$G$9,MATCH(E73,'Tax Residency Eligibility'!$A$4:$A$9,0),MATCH($A73,'Tax Residency Eligibility'!$B$3:$G$3,0)),"?"))="N"),"No",IF(OR(IF(C73="","", IFERROR(INDEX('Tax Residency Eligibility'!$B$4:$G$9,MATCH(C73,'Tax Residency Eligibility'!$A$4:$A$9,0),MATCH($A73,'Tax Residency Eligibility'!$B$3:$G$3,0)),"?"))="Check",IF(D73="","", IFERROR(INDEX('Tax Residency Eligibility'!$B$4:$G$9,MATCH(D73,'Tax Residency Eligibility'!$A$4:$A$9,0),MATCH($A73,'Tax Residency Eligibility'!$B$3:$G$3,0)),"?"))="Check",IF(E73="","", IFERROR(INDEX('Tax Residency Eligibility'!$B$4:$G$9,MATCH(E73,'Tax Residency Eligibility'!$A$4:$A$9,0),MATCH($A73,'Tax Residency Eligibility'!$B$3:$G$3,0)),"?"))="Check"),"Check directly","Yes"))</f>
        <v/>
      </c>
      <c r="G73" s="16">
        <f>IFERROR(VLOOKUP(C73,'Broker Fees'!$A$4:$G$9,7,0),0)+IF(D73="",0,IFERROR(VLOOKUP(D73,'Broker Fees'!$A$4:$G$9,7,0),0))+IF(E73="",0,IFERROR(VLOOKUP(E73,'Broker Fees'!$A$4:$G$9,7,0),0))</f>
        <v/>
      </c>
      <c r="H7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3" s="18">
        <f>VLOOKUP($A73,'Capital Gains Tax'!$A$4:$D$9,2,0)</f>
        <v/>
      </c>
      <c r="J73" s="18">
        <f>VLOOKUP($A73,'Capital Gains Tax'!$A$4:$D$9,3,0)</f>
        <v/>
      </c>
    </row>
    <row r="74" ht="15" customHeight="1">
      <c r="A74" s="9" t="inlineStr">
        <is>
          <t>UK</t>
        </is>
      </c>
      <c r="B74" s="9" t="inlineStr">
        <is>
          <t>IBKR+Exante+XTB</t>
        </is>
      </c>
      <c r="C74" s="15" t="inlineStr">
        <is>
          <t>IBKR</t>
        </is>
      </c>
      <c r="D74" s="15" t="inlineStr">
        <is>
          <t>Exante</t>
        </is>
      </c>
      <c r="E74" s="15" t="inlineStr">
        <is>
          <t>XTB</t>
        </is>
      </c>
      <c r="F74" s="9">
        <f>IF(OR(IF(C74="","", IFERROR(INDEX('Tax Residency Eligibility'!$B$4:$G$9,MATCH(C74,'Tax Residency Eligibility'!$A$4:$A$9,0),MATCH($A74,'Tax Residency Eligibility'!$B$3:$G$3,0)),"?"))="N",IF(D74="","", IFERROR(INDEX('Tax Residency Eligibility'!$B$4:$G$9,MATCH(D74,'Tax Residency Eligibility'!$A$4:$A$9,0),MATCH($A74,'Tax Residency Eligibility'!$B$3:$G$3,0)),"?"))="N",IF(E74="","", IFERROR(INDEX('Tax Residency Eligibility'!$B$4:$G$9,MATCH(E74,'Tax Residency Eligibility'!$A$4:$A$9,0),MATCH($A74,'Tax Residency Eligibility'!$B$3:$G$3,0)),"?"))="N"),"No",IF(OR(IF(C74="","", IFERROR(INDEX('Tax Residency Eligibility'!$B$4:$G$9,MATCH(C74,'Tax Residency Eligibility'!$A$4:$A$9,0),MATCH($A74,'Tax Residency Eligibility'!$B$3:$G$3,0)),"?"))="Check",IF(D74="","", IFERROR(INDEX('Tax Residency Eligibility'!$B$4:$G$9,MATCH(D74,'Tax Residency Eligibility'!$A$4:$A$9,0),MATCH($A74,'Tax Residency Eligibility'!$B$3:$G$3,0)),"?"))="Check",IF(E74="","", IFERROR(INDEX('Tax Residency Eligibility'!$B$4:$G$9,MATCH(E74,'Tax Residency Eligibility'!$A$4:$A$9,0),MATCH($A74,'Tax Residency Eligibility'!$B$3:$G$3,0)),"?"))="Check"),"Check directly","Yes"))</f>
        <v/>
      </c>
      <c r="G74" s="16">
        <f>IFERROR(VLOOKUP(C74,'Broker Fees'!$A$4:$G$9,7,0),0)+IF(D74="",0,IFERROR(VLOOKUP(D74,'Broker Fees'!$A$4:$G$9,7,0),0))+IF(E74="",0,IFERROR(VLOOKUP(E74,'Broker Fees'!$A$4:$G$9,7,0),0))</f>
        <v/>
      </c>
      <c r="H7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4" s="18">
        <f>VLOOKUP($A74,'Capital Gains Tax'!$A$4:$D$9,2,0)</f>
        <v/>
      </c>
      <c r="J74" s="18">
        <f>VLOOKUP($A74,'Capital Gains Tax'!$A$4:$D$9,3,0)</f>
        <v/>
      </c>
    </row>
    <row r="75" ht="15" customHeight="1">
      <c r="A75" s="9" t="inlineStr">
        <is>
          <t>UK</t>
        </is>
      </c>
      <c r="B75" s="9" t="inlineStr">
        <is>
          <t>IBKR+Swissquote+XTB</t>
        </is>
      </c>
      <c r="C75" s="15" t="inlineStr">
        <is>
          <t>IBKR</t>
        </is>
      </c>
      <c r="D75" s="15" t="inlineStr">
        <is>
          <t>Swissquote</t>
        </is>
      </c>
      <c r="E75" s="15" t="inlineStr">
        <is>
          <t>XTB</t>
        </is>
      </c>
      <c r="F75" s="9">
        <f>IF(OR(IF(C75="","", IFERROR(INDEX('Tax Residency Eligibility'!$B$4:$G$9,MATCH(C75,'Tax Residency Eligibility'!$A$4:$A$9,0),MATCH($A75,'Tax Residency Eligibility'!$B$3:$G$3,0)),"?"))="N",IF(D75="","", IFERROR(INDEX('Tax Residency Eligibility'!$B$4:$G$9,MATCH(D75,'Tax Residency Eligibility'!$A$4:$A$9,0),MATCH($A75,'Tax Residency Eligibility'!$B$3:$G$3,0)),"?"))="N",IF(E75="","", IFERROR(INDEX('Tax Residency Eligibility'!$B$4:$G$9,MATCH(E75,'Tax Residency Eligibility'!$A$4:$A$9,0),MATCH($A75,'Tax Residency Eligibility'!$B$3:$G$3,0)),"?"))="N"),"No",IF(OR(IF(C75="","", IFERROR(INDEX('Tax Residency Eligibility'!$B$4:$G$9,MATCH(C75,'Tax Residency Eligibility'!$A$4:$A$9,0),MATCH($A75,'Tax Residency Eligibility'!$B$3:$G$3,0)),"?"))="Check",IF(D75="","", IFERROR(INDEX('Tax Residency Eligibility'!$B$4:$G$9,MATCH(D75,'Tax Residency Eligibility'!$A$4:$A$9,0),MATCH($A75,'Tax Residency Eligibility'!$B$3:$G$3,0)),"?"))="Check",IF(E75="","", IFERROR(INDEX('Tax Residency Eligibility'!$B$4:$G$9,MATCH(E75,'Tax Residency Eligibility'!$A$4:$A$9,0),MATCH($A75,'Tax Residency Eligibility'!$B$3:$G$3,0)),"?"))="Check"),"Check directly","Yes"))</f>
        <v/>
      </c>
      <c r="G75" s="16">
        <f>IFERROR(VLOOKUP(C75,'Broker Fees'!$A$4:$G$9,7,0),0)+IF(D75="",0,IFERROR(VLOOKUP(D75,'Broker Fees'!$A$4:$G$9,7,0),0))+IF(E75="",0,IFERROR(VLOOKUP(E75,'Broker Fees'!$A$4:$G$9,7,0),0))</f>
        <v/>
      </c>
      <c r="H7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5" s="18">
        <f>VLOOKUP($A75,'Capital Gains Tax'!$A$4:$D$9,2,0)</f>
        <v/>
      </c>
      <c r="J75" s="18">
        <f>VLOOKUP($A75,'Capital Gains Tax'!$A$4:$D$9,3,0)</f>
        <v/>
      </c>
    </row>
    <row r="76" ht="15" customHeight="1">
      <c r="A76" s="9" t="inlineStr">
        <is>
          <t>UK</t>
        </is>
      </c>
      <c r="B76" s="9" t="inlineStr">
        <is>
          <t>Saxo+Wio+Exante</t>
        </is>
      </c>
      <c r="C76" s="15" t="inlineStr">
        <is>
          <t>Saxo</t>
        </is>
      </c>
      <c r="D76" s="15" t="inlineStr">
        <is>
          <t>Wio</t>
        </is>
      </c>
      <c r="E76" s="15" t="inlineStr">
        <is>
          <t>Exante</t>
        </is>
      </c>
      <c r="F76" s="9">
        <f>IF(OR(IF(C76="","", IFERROR(INDEX('Tax Residency Eligibility'!$B$4:$G$9,MATCH(C76,'Tax Residency Eligibility'!$A$4:$A$9,0),MATCH($A76,'Tax Residency Eligibility'!$B$3:$G$3,0)),"?"))="N",IF(D76="","", IFERROR(INDEX('Tax Residency Eligibility'!$B$4:$G$9,MATCH(D76,'Tax Residency Eligibility'!$A$4:$A$9,0),MATCH($A76,'Tax Residency Eligibility'!$B$3:$G$3,0)),"?"))="N",IF(E76="","", IFERROR(INDEX('Tax Residency Eligibility'!$B$4:$G$9,MATCH(E76,'Tax Residency Eligibility'!$A$4:$A$9,0),MATCH($A76,'Tax Residency Eligibility'!$B$3:$G$3,0)),"?"))="N"),"No",IF(OR(IF(C76="","", IFERROR(INDEX('Tax Residency Eligibility'!$B$4:$G$9,MATCH(C76,'Tax Residency Eligibility'!$A$4:$A$9,0),MATCH($A76,'Tax Residency Eligibility'!$B$3:$G$3,0)),"?"))="Check",IF(D76="","", IFERROR(INDEX('Tax Residency Eligibility'!$B$4:$G$9,MATCH(D76,'Tax Residency Eligibility'!$A$4:$A$9,0),MATCH($A76,'Tax Residency Eligibility'!$B$3:$G$3,0)),"?"))="Check",IF(E76="","", IFERROR(INDEX('Tax Residency Eligibility'!$B$4:$G$9,MATCH(E76,'Tax Residency Eligibility'!$A$4:$A$9,0),MATCH($A76,'Tax Residency Eligibility'!$B$3:$G$3,0)),"?"))="Check"),"Check directly","Yes"))</f>
        <v/>
      </c>
      <c r="G76" s="16">
        <f>IFERROR(VLOOKUP(C76,'Broker Fees'!$A$4:$G$9,7,0),0)+IF(D76="",0,IFERROR(VLOOKUP(D76,'Broker Fees'!$A$4:$G$9,7,0),0))+IF(E76="",0,IFERROR(VLOOKUP(E76,'Broker Fees'!$A$4:$G$9,7,0),0))</f>
        <v/>
      </c>
      <c r="H7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6" s="18">
        <f>VLOOKUP($A76,'Capital Gains Tax'!$A$4:$D$9,2,0)</f>
        <v/>
      </c>
      <c r="J76" s="18">
        <f>VLOOKUP($A76,'Capital Gains Tax'!$A$4:$D$9,3,0)</f>
        <v/>
      </c>
    </row>
    <row r="77" ht="15" customHeight="1">
      <c r="A77" s="9" t="inlineStr">
        <is>
          <t>UK</t>
        </is>
      </c>
      <c r="B77" s="9" t="inlineStr">
        <is>
          <t>Saxo+Wio+Swissquote</t>
        </is>
      </c>
      <c r="C77" s="15" t="inlineStr">
        <is>
          <t>Saxo</t>
        </is>
      </c>
      <c r="D77" s="15" t="inlineStr">
        <is>
          <t>Wio</t>
        </is>
      </c>
      <c r="E77" s="15" t="inlineStr">
        <is>
          <t>Swissquote</t>
        </is>
      </c>
      <c r="F77" s="9">
        <f>IF(OR(IF(C77="","", IFERROR(INDEX('Tax Residency Eligibility'!$B$4:$G$9,MATCH(C77,'Tax Residency Eligibility'!$A$4:$A$9,0),MATCH($A77,'Tax Residency Eligibility'!$B$3:$G$3,0)),"?"))="N",IF(D77="","", IFERROR(INDEX('Tax Residency Eligibility'!$B$4:$G$9,MATCH(D77,'Tax Residency Eligibility'!$A$4:$A$9,0),MATCH($A77,'Tax Residency Eligibility'!$B$3:$G$3,0)),"?"))="N",IF(E77="","", IFERROR(INDEX('Tax Residency Eligibility'!$B$4:$G$9,MATCH(E77,'Tax Residency Eligibility'!$A$4:$A$9,0),MATCH($A77,'Tax Residency Eligibility'!$B$3:$G$3,0)),"?"))="N"),"No",IF(OR(IF(C77="","", IFERROR(INDEX('Tax Residency Eligibility'!$B$4:$G$9,MATCH(C77,'Tax Residency Eligibility'!$A$4:$A$9,0),MATCH($A77,'Tax Residency Eligibility'!$B$3:$G$3,0)),"?"))="Check",IF(D77="","", IFERROR(INDEX('Tax Residency Eligibility'!$B$4:$G$9,MATCH(D77,'Tax Residency Eligibility'!$A$4:$A$9,0),MATCH($A77,'Tax Residency Eligibility'!$B$3:$G$3,0)),"?"))="Check",IF(E77="","", IFERROR(INDEX('Tax Residency Eligibility'!$B$4:$G$9,MATCH(E77,'Tax Residency Eligibility'!$A$4:$A$9,0),MATCH($A77,'Tax Residency Eligibility'!$B$3:$G$3,0)),"?"))="Check"),"Check directly","Yes"))</f>
        <v/>
      </c>
      <c r="G77" s="16">
        <f>IFERROR(VLOOKUP(C77,'Broker Fees'!$A$4:$G$9,7,0),0)+IF(D77="",0,IFERROR(VLOOKUP(D77,'Broker Fees'!$A$4:$G$9,7,0),0))+IF(E77="",0,IFERROR(VLOOKUP(E77,'Broker Fees'!$A$4:$G$9,7,0),0))</f>
        <v/>
      </c>
      <c r="H7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7" s="18">
        <f>VLOOKUP($A77,'Capital Gains Tax'!$A$4:$D$9,2,0)</f>
        <v/>
      </c>
      <c r="J77" s="18">
        <f>VLOOKUP($A77,'Capital Gains Tax'!$A$4:$D$9,3,0)</f>
        <v/>
      </c>
    </row>
    <row r="78" ht="15" customHeight="1">
      <c r="A78" s="9" t="inlineStr">
        <is>
          <t>UK</t>
        </is>
      </c>
      <c r="B78" s="9" t="inlineStr">
        <is>
          <t>Saxo+Wio+XTB</t>
        </is>
      </c>
      <c r="C78" s="15" t="inlineStr">
        <is>
          <t>Saxo</t>
        </is>
      </c>
      <c r="D78" s="15" t="inlineStr">
        <is>
          <t>Wio</t>
        </is>
      </c>
      <c r="E78" s="15" t="inlineStr">
        <is>
          <t>XTB</t>
        </is>
      </c>
      <c r="F78" s="9">
        <f>IF(OR(IF(C78="","", IFERROR(INDEX('Tax Residency Eligibility'!$B$4:$G$9,MATCH(C78,'Tax Residency Eligibility'!$A$4:$A$9,0),MATCH($A78,'Tax Residency Eligibility'!$B$3:$G$3,0)),"?"))="N",IF(D78="","", IFERROR(INDEX('Tax Residency Eligibility'!$B$4:$G$9,MATCH(D78,'Tax Residency Eligibility'!$A$4:$A$9,0),MATCH($A78,'Tax Residency Eligibility'!$B$3:$G$3,0)),"?"))="N",IF(E78="","", IFERROR(INDEX('Tax Residency Eligibility'!$B$4:$G$9,MATCH(E78,'Tax Residency Eligibility'!$A$4:$A$9,0),MATCH($A78,'Tax Residency Eligibility'!$B$3:$G$3,0)),"?"))="N"),"No",IF(OR(IF(C78="","", IFERROR(INDEX('Tax Residency Eligibility'!$B$4:$G$9,MATCH(C78,'Tax Residency Eligibility'!$A$4:$A$9,0),MATCH($A78,'Tax Residency Eligibility'!$B$3:$G$3,0)),"?"))="Check",IF(D78="","", IFERROR(INDEX('Tax Residency Eligibility'!$B$4:$G$9,MATCH(D78,'Tax Residency Eligibility'!$A$4:$A$9,0),MATCH($A78,'Tax Residency Eligibility'!$B$3:$G$3,0)),"?"))="Check",IF(E78="","", IFERROR(INDEX('Tax Residency Eligibility'!$B$4:$G$9,MATCH(E78,'Tax Residency Eligibility'!$A$4:$A$9,0),MATCH($A78,'Tax Residency Eligibility'!$B$3:$G$3,0)),"?"))="Check"),"Check directly","Yes"))</f>
        <v/>
      </c>
      <c r="G78" s="16">
        <f>IFERROR(VLOOKUP(C78,'Broker Fees'!$A$4:$G$9,7,0),0)+IF(D78="",0,IFERROR(VLOOKUP(D78,'Broker Fees'!$A$4:$G$9,7,0),0))+IF(E78="",0,IFERROR(VLOOKUP(E78,'Broker Fees'!$A$4:$G$9,7,0),0))</f>
        <v/>
      </c>
      <c r="H7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8" s="18">
        <f>VLOOKUP($A78,'Capital Gains Tax'!$A$4:$D$9,2,0)</f>
        <v/>
      </c>
      <c r="J78" s="18">
        <f>VLOOKUP($A78,'Capital Gains Tax'!$A$4:$D$9,3,0)</f>
        <v/>
      </c>
    </row>
    <row r="79" ht="15" customHeight="1">
      <c r="A79" s="9" t="inlineStr">
        <is>
          <t>UK</t>
        </is>
      </c>
      <c r="B79" s="9" t="inlineStr">
        <is>
          <t>Saxo+Exante+Swissquote</t>
        </is>
      </c>
      <c r="C79" s="15" t="inlineStr">
        <is>
          <t>Saxo</t>
        </is>
      </c>
      <c r="D79" s="15" t="inlineStr">
        <is>
          <t>Exante</t>
        </is>
      </c>
      <c r="E79" s="15" t="inlineStr">
        <is>
          <t>Swissquote</t>
        </is>
      </c>
      <c r="F79" s="9">
        <f>IF(OR(IF(C79="","", IFERROR(INDEX('Tax Residency Eligibility'!$B$4:$G$9,MATCH(C79,'Tax Residency Eligibility'!$A$4:$A$9,0),MATCH($A79,'Tax Residency Eligibility'!$B$3:$G$3,0)),"?"))="N",IF(D79="","", IFERROR(INDEX('Tax Residency Eligibility'!$B$4:$G$9,MATCH(D79,'Tax Residency Eligibility'!$A$4:$A$9,0),MATCH($A79,'Tax Residency Eligibility'!$B$3:$G$3,0)),"?"))="N",IF(E79="","", IFERROR(INDEX('Tax Residency Eligibility'!$B$4:$G$9,MATCH(E79,'Tax Residency Eligibility'!$A$4:$A$9,0),MATCH($A79,'Tax Residency Eligibility'!$B$3:$G$3,0)),"?"))="N"),"No",IF(OR(IF(C79="","", IFERROR(INDEX('Tax Residency Eligibility'!$B$4:$G$9,MATCH(C79,'Tax Residency Eligibility'!$A$4:$A$9,0),MATCH($A79,'Tax Residency Eligibility'!$B$3:$G$3,0)),"?"))="Check",IF(D79="","", IFERROR(INDEX('Tax Residency Eligibility'!$B$4:$G$9,MATCH(D79,'Tax Residency Eligibility'!$A$4:$A$9,0),MATCH($A79,'Tax Residency Eligibility'!$B$3:$G$3,0)),"?"))="Check",IF(E79="","", IFERROR(INDEX('Tax Residency Eligibility'!$B$4:$G$9,MATCH(E79,'Tax Residency Eligibility'!$A$4:$A$9,0),MATCH($A79,'Tax Residency Eligibility'!$B$3:$G$3,0)),"?"))="Check"),"Check directly","Yes"))</f>
        <v/>
      </c>
      <c r="G79" s="16">
        <f>IFERROR(VLOOKUP(C79,'Broker Fees'!$A$4:$G$9,7,0),0)+IF(D79="",0,IFERROR(VLOOKUP(D79,'Broker Fees'!$A$4:$G$9,7,0),0))+IF(E79="",0,IFERROR(VLOOKUP(E79,'Broker Fees'!$A$4:$G$9,7,0),0))</f>
        <v/>
      </c>
      <c r="H7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79" s="18">
        <f>VLOOKUP($A79,'Capital Gains Tax'!$A$4:$D$9,2,0)</f>
        <v/>
      </c>
      <c r="J79" s="18">
        <f>VLOOKUP($A79,'Capital Gains Tax'!$A$4:$D$9,3,0)</f>
        <v/>
      </c>
    </row>
    <row r="80" ht="15" customHeight="1">
      <c r="A80" s="9" t="inlineStr">
        <is>
          <t>UK</t>
        </is>
      </c>
      <c r="B80" s="9" t="inlineStr">
        <is>
          <t>Saxo+Exante+XTB</t>
        </is>
      </c>
      <c r="C80" s="15" t="inlineStr">
        <is>
          <t>Saxo</t>
        </is>
      </c>
      <c r="D80" s="15" t="inlineStr">
        <is>
          <t>Exante</t>
        </is>
      </c>
      <c r="E80" s="15" t="inlineStr">
        <is>
          <t>XTB</t>
        </is>
      </c>
      <c r="F80" s="9">
        <f>IF(OR(IF(C80="","", IFERROR(INDEX('Tax Residency Eligibility'!$B$4:$G$9,MATCH(C80,'Tax Residency Eligibility'!$A$4:$A$9,0),MATCH($A80,'Tax Residency Eligibility'!$B$3:$G$3,0)),"?"))="N",IF(D80="","", IFERROR(INDEX('Tax Residency Eligibility'!$B$4:$G$9,MATCH(D80,'Tax Residency Eligibility'!$A$4:$A$9,0),MATCH($A80,'Tax Residency Eligibility'!$B$3:$G$3,0)),"?"))="N",IF(E80="","", IFERROR(INDEX('Tax Residency Eligibility'!$B$4:$G$9,MATCH(E80,'Tax Residency Eligibility'!$A$4:$A$9,0),MATCH($A80,'Tax Residency Eligibility'!$B$3:$G$3,0)),"?"))="N"),"No",IF(OR(IF(C80="","", IFERROR(INDEX('Tax Residency Eligibility'!$B$4:$G$9,MATCH(C80,'Tax Residency Eligibility'!$A$4:$A$9,0),MATCH($A80,'Tax Residency Eligibility'!$B$3:$G$3,0)),"?"))="Check",IF(D80="","", IFERROR(INDEX('Tax Residency Eligibility'!$B$4:$G$9,MATCH(D80,'Tax Residency Eligibility'!$A$4:$A$9,0),MATCH($A80,'Tax Residency Eligibility'!$B$3:$G$3,0)),"?"))="Check",IF(E80="","", IFERROR(INDEX('Tax Residency Eligibility'!$B$4:$G$9,MATCH(E80,'Tax Residency Eligibility'!$A$4:$A$9,0),MATCH($A80,'Tax Residency Eligibility'!$B$3:$G$3,0)),"?"))="Check"),"Check directly","Yes"))</f>
        <v/>
      </c>
      <c r="G80" s="16">
        <f>IFERROR(VLOOKUP(C80,'Broker Fees'!$A$4:$G$9,7,0),0)+IF(D80="",0,IFERROR(VLOOKUP(D80,'Broker Fees'!$A$4:$G$9,7,0),0))+IF(E80="",0,IFERROR(VLOOKUP(E80,'Broker Fees'!$A$4:$G$9,7,0),0))</f>
        <v/>
      </c>
      <c r="H8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0" s="18">
        <f>VLOOKUP($A80,'Capital Gains Tax'!$A$4:$D$9,2,0)</f>
        <v/>
      </c>
      <c r="J80" s="18">
        <f>VLOOKUP($A80,'Capital Gains Tax'!$A$4:$D$9,3,0)</f>
        <v/>
      </c>
    </row>
    <row r="81" ht="15" customHeight="1">
      <c r="A81" s="9" t="inlineStr">
        <is>
          <t>UK</t>
        </is>
      </c>
      <c r="B81" s="9" t="inlineStr">
        <is>
          <t>Saxo+Swissquote+XTB</t>
        </is>
      </c>
      <c r="C81" s="15" t="inlineStr">
        <is>
          <t>Saxo</t>
        </is>
      </c>
      <c r="D81" s="15" t="inlineStr">
        <is>
          <t>Swissquote</t>
        </is>
      </c>
      <c r="E81" s="15" t="inlineStr">
        <is>
          <t>XTB</t>
        </is>
      </c>
      <c r="F81" s="9">
        <f>IF(OR(IF(C81="","", IFERROR(INDEX('Tax Residency Eligibility'!$B$4:$G$9,MATCH(C81,'Tax Residency Eligibility'!$A$4:$A$9,0),MATCH($A81,'Tax Residency Eligibility'!$B$3:$G$3,0)),"?"))="N",IF(D81="","", IFERROR(INDEX('Tax Residency Eligibility'!$B$4:$G$9,MATCH(D81,'Tax Residency Eligibility'!$A$4:$A$9,0),MATCH($A81,'Tax Residency Eligibility'!$B$3:$G$3,0)),"?"))="N",IF(E81="","", IFERROR(INDEX('Tax Residency Eligibility'!$B$4:$G$9,MATCH(E81,'Tax Residency Eligibility'!$A$4:$A$9,0),MATCH($A81,'Tax Residency Eligibility'!$B$3:$G$3,0)),"?"))="N"),"No",IF(OR(IF(C81="","", IFERROR(INDEX('Tax Residency Eligibility'!$B$4:$G$9,MATCH(C81,'Tax Residency Eligibility'!$A$4:$A$9,0),MATCH($A81,'Tax Residency Eligibility'!$B$3:$G$3,0)),"?"))="Check",IF(D81="","", IFERROR(INDEX('Tax Residency Eligibility'!$B$4:$G$9,MATCH(D81,'Tax Residency Eligibility'!$A$4:$A$9,0),MATCH($A81,'Tax Residency Eligibility'!$B$3:$G$3,0)),"?"))="Check",IF(E81="","", IFERROR(INDEX('Tax Residency Eligibility'!$B$4:$G$9,MATCH(E81,'Tax Residency Eligibility'!$A$4:$A$9,0),MATCH($A81,'Tax Residency Eligibility'!$B$3:$G$3,0)),"?"))="Check"),"Check directly","Yes"))</f>
        <v/>
      </c>
      <c r="G81" s="16">
        <f>IFERROR(VLOOKUP(C81,'Broker Fees'!$A$4:$G$9,7,0),0)+IF(D81="",0,IFERROR(VLOOKUP(D81,'Broker Fees'!$A$4:$G$9,7,0),0))+IF(E81="",0,IFERROR(VLOOKUP(E81,'Broker Fees'!$A$4:$G$9,7,0),0))</f>
        <v/>
      </c>
      <c r="H8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1" s="18">
        <f>VLOOKUP($A81,'Capital Gains Tax'!$A$4:$D$9,2,0)</f>
        <v/>
      </c>
      <c r="J81" s="18">
        <f>VLOOKUP($A81,'Capital Gains Tax'!$A$4:$D$9,3,0)</f>
        <v/>
      </c>
    </row>
    <row r="82" ht="15" customHeight="1">
      <c r="A82" s="9" t="inlineStr">
        <is>
          <t>UK</t>
        </is>
      </c>
      <c r="B82" s="9" t="inlineStr">
        <is>
          <t>Wio+Exante+Swissquote</t>
        </is>
      </c>
      <c r="C82" s="15" t="inlineStr">
        <is>
          <t>Wio</t>
        </is>
      </c>
      <c r="D82" s="15" t="inlineStr">
        <is>
          <t>Exante</t>
        </is>
      </c>
      <c r="E82" s="15" t="inlineStr">
        <is>
          <t>Swissquote</t>
        </is>
      </c>
      <c r="F82" s="9">
        <f>IF(OR(IF(C82="","", IFERROR(INDEX('Tax Residency Eligibility'!$B$4:$G$9,MATCH(C82,'Tax Residency Eligibility'!$A$4:$A$9,0),MATCH($A82,'Tax Residency Eligibility'!$B$3:$G$3,0)),"?"))="N",IF(D82="","", IFERROR(INDEX('Tax Residency Eligibility'!$B$4:$G$9,MATCH(D82,'Tax Residency Eligibility'!$A$4:$A$9,0),MATCH($A82,'Tax Residency Eligibility'!$B$3:$G$3,0)),"?"))="N",IF(E82="","", IFERROR(INDEX('Tax Residency Eligibility'!$B$4:$G$9,MATCH(E82,'Tax Residency Eligibility'!$A$4:$A$9,0),MATCH($A82,'Tax Residency Eligibility'!$B$3:$G$3,0)),"?"))="N"),"No",IF(OR(IF(C82="","", IFERROR(INDEX('Tax Residency Eligibility'!$B$4:$G$9,MATCH(C82,'Tax Residency Eligibility'!$A$4:$A$9,0),MATCH($A82,'Tax Residency Eligibility'!$B$3:$G$3,0)),"?"))="Check",IF(D82="","", IFERROR(INDEX('Tax Residency Eligibility'!$B$4:$G$9,MATCH(D82,'Tax Residency Eligibility'!$A$4:$A$9,0),MATCH($A82,'Tax Residency Eligibility'!$B$3:$G$3,0)),"?"))="Check",IF(E82="","", IFERROR(INDEX('Tax Residency Eligibility'!$B$4:$G$9,MATCH(E82,'Tax Residency Eligibility'!$A$4:$A$9,0),MATCH($A82,'Tax Residency Eligibility'!$B$3:$G$3,0)),"?"))="Check"),"Check directly","Yes"))</f>
        <v/>
      </c>
      <c r="G82" s="16">
        <f>IFERROR(VLOOKUP(C82,'Broker Fees'!$A$4:$G$9,7,0),0)+IF(D82="",0,IFERROR(VLOOKUP(D82,'Broker Fees'!$A$4:$G$9,7,0),0))+IF(E82="",0,IFERROR(VLOOKUP(E82,'Broker Fees'!$A$4:$G$9,7,0),0))</f>
        <v/>
      </c>
      <c r="H8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2" s="18">
        <f>VLOOKUP($A82,'Capital Gains Tax'!$A$4:$D$9,2,0)</f>
        <v/>
      </c>
      <c r="J82" s="18">
        <f>VLOOKUP($A82,'Capital Gains Tax'!$A$4:$D$9,3,0)</f>
        <v/>
      </c>
    </row>
    <row r="83" ht="15" customHeight="1">
      <c r="A83" s="9" t="inlineStr">
        <is>
          <t>UK</t>
        </is>
      </c>
      <c r="B83" s="9" t="inlineStr">
        <is>
          <t>Wio+Exante+XTB</t>
        </is>
      </c>
      <c r="C83" s="15" t="inlineStr">
        <is>
          <t>Wio</t>
        </is>
      </c>
      <c r="D83" s="15" t="inlineStr">
        <is>
          <t>Exante</t>
        </is>
      </c>
      <c r="E83" s="15" t="inlineStr">
        <is>
          <t>XTB</t>
        </is>
      </c>
      <c r="F83" s="9">
        <f>IF(OR(IF(C83="","", IFERROR(INDEX('Tax Residency Eligibility'!$B$4:$G$9,MATCH(C83,'Tax Residency Eligibility'!$A$4:$A$9,0),MATCH($A83,'Tax Residency Eligibility'!$B$3:$G$3,0)),"?"))="N",IF(D83="","", IFERROR(INDEX('Tax Residency Eligibility'!$B$4:$G$9,MATCH(D83,'Tax Residency Eligibility'!$A$4:$A$9,0),MATCH($A83,'Tax Residency Eligibility'!$B$3:$G$3,0)),"?"))="N",IF(E83="","", IFERROR(INDEX('Tax Residency Eligibility'!$B$4:$G$9,MATCH(E83,'Tax Residency Eligibility'!$A$4:$A$9,0),MATCH($A83,'Tax Residency Eligibility'!$B$3:$G$3,0)),"?"))="N"),"No",IF(OR(IF(C83="","", IFERROR(INDEX('Tax Residency Eligibility'!$B$4:$G$9,MATCH(C83,'Tax Residency Eligibility'!$A$4:$A$9,0),MATCH($A83,'Tax Residency Eligibility'!$B$3:$G$3,0)),"?"))="Check",IF(D83="","", IFERROR(INDEX('Tax Residency Eligibility'!$B$4:$G$9,MATCH(D83,'Tax Residency Eligibility'!$A$4:$A$9,0),MATCH($A83,'Tax Residency Eligibility'!$B$3:$G$3,0)),"?"))="Check",IF(E83="","", IFERROR(INDEX('Tax Residency Eligibility'!$B$4:$G$9,MATCH(E83,'Tax Residency Eligibility'!$A$4:$A$9,0),MATCH($A83,'Tax Residency Eligibility'!$B$3:$G$3,0)),"?"))="Check"),"Check directly","Yes"))</f>
        <v/>
      </c>
      <c r="G83" s="16">
        <f>IFERROR(VLOOKUP(C83,'Broker Fees'!$A$4:$G$9,7,0),0)+IF(D83="",0,IFERROR(VLOOKUP(D83,'Broker Fees'!$A$4:$G$9,7,0),0))+IF(E83="",0,IFERROR(VLOOKUP(E83,'Broker Fees'!$A$4:$G$9,7,0),0))</f>
        <v/>
      </c>
      <c r="H8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3" s="18">
        <f>VLOOKUP($A83,'Capital Gains Tax'!$A$4:$D$9,2,0)</f>
        <v/>
      </c>
      <c r="J83" s="18">
        <f>VLOOKUP($A83,'Capital Gains Tax'!$A$4:$D$9,3,0)</f>
        <v/>
      </c>
    </row>
    <row r="84" ht="15" customHeight="1">
      <c r="A84" s="9" t="inlineStr">
        <is>
          <t>UK</t>
        </is>
      </c>
      <c r="B84" s="9" t="inlineStr">
        <is>
          <t>Wio+Swissquote+XTB</t>
        </is>
      </c>
      <c r="C84" s="15" t="inlineStr">
        <is>
          <t>Wio</t>
        </is>
      </c>
      <c r="D84" s="15" t="inlineStr">
        <is>
          <t>Swissquote</t>
        </is>
      </c>
      <c r="E84" s="15" t="inlineStr">
        <is>
          <t>XTB</t>
        </is>
      </c>
      <c r="F84" s="9">
        <f>IF(OR(IF(C84="","", IFERROR(INDEX('Tax Residency Eligibility'!$B$4:$G$9,MATCH(C84,'Tax Residency Eligibility'!$A$4:$A$9,0),MATCH($A84,'Tax Residency Eligibility'!$B$3:$G$3,0)),"?"))="N",IF(D84="","", IFERROR(INDEX('Tax Residency Eligibility'!$B$4:$G$9,MATCH(D84,'Tax Residency Eligibility'!$A$4:$A$9,0),MATCH($A84,'Tax Residency Eligibility'!$B$3:$G$3,0)),"?"))="N",IF(E84="","", IFERROR(INDEX('Tax Residency Eligibility'!$B$4:$G$9,MATCH(E84,'Tax Residency Eligibility'!$A$4:$A$9,0),MATCH($A84,'Tax Residency Eligibility'!$B$3:$G$3,0)),"?"))="N"),"No",IF(OR(IF(C84="","", IFERROR(INDEX('Tax Residency Eligibility'!$B$4:$G$9,MATCH(C84,'Tax Residency Eligibility'!$A$4:$A$9,0),MATCH($A84,'Tax Residency Eligibility'!$B$3:$G$3,0)),"?"))="Check",IF(D84="","", IFERROR(INDEX('Tax Residency Eligibility'!$B$4:$G$9,MATCH(D84,'Tax Residency Eligibility'!$A$4:$A$9,0),MATCH($A84,'Tax Residency Eligibility'!$B$3:$G$3,0)),"?"))="Check",IF(E84="","", IFERROR(INDEX('Tax Residency Eligibility'!$B$4:$G$9,MATCH(E84,'Tax Residency Eligibility'!$A$4:$A$9,0),MATCH($A84,'Tax Residency Eligibility'!$B$3:$G$3,0)),"?"))="Check"),"Check directly","Yes"))</f>
        <v/>
      </c>
      <c r="G84" s="16">
        <f>IFERROR(VLOOKUP(C84,'Broker Fees'!$A$4:$G$9,7,0),0)+IF(D84="",0,IFERROR(VLOOKUP(D84,'Broker Fees'!$A$4:$G$9,7,0),0))+IF(E84="",0,IFERROR(VLOOKUP(E84,'Broker Fees'!$A$4:$G$9,7,0),0))</f>
        <v/>
      </c>
      <c r="H8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4" s="18">
        <f>VLOOKUP($A84,'Capital Gains Tax'!$A$4:$D$9,2,0)</f>
        <v/>
      </c>
      <c r="J84" s="18">
        <f>VLOOKUP($A84,'Capital Gains Tax'!$A$4:$D$9,3,0)</f>
        <v/>
      </c>
    </row>
    <row r="85" ht="15" customHeight="1">
      <c r="A85" s="9" t="inlineStr">
        <is>
          <t>UK</t>
        </is>
      </c>
      <c r="B85" s="9" t="inlineStr">
        <is>
          <t>Exante+Swissquote+XTB</t>
        </is>
      </c>
      <c r="C85" s="15" t="inlineStr">
        <is>
          <t>Exante</t>
        </is>
      </c>
      <c r="D85" s="15" t="inlineStr">
        <is>
          <t>Swissquote</t>
        </is>
      </c>
      <c r="E85" s="15" t="inlineStr">
        <is>
          <t>XTB</t>
        </is>
      </c>
      <c r="F85" s="9">
        <f>IF(OR(IF(C85="","", IFERROR(INDEX('Tax Residency Eligibility'!$B$4:$G$9,MATCH(C85,'Tax Residency Eligibility'!$A$4:$A$9,0),MATCH($A85,'Tax Residency Eligibility'!$B$3:$G$3,0)),"?"))="N",IF(D85="","", IFERROR(INDEX('Tax Residency Eligibility'!$B$4:$G$9,MATCH(D85,'Tax Residency Eligibility'!$A$4:$A$9,0),MATCH($A85,'Tax Residency Eligibility'!$B$3:$G$3,0)),"?"))="N",IF(E85="","", IFERROR(INDEX('Tax Residency Eligibility'!$B$4:$G$9,MATCH(E85,'Tax Residency Eligibility'!$A$4:$A$9,0),MATCH($A85,'Tax Residency Eligibility'!$B$3:$G$3,0)),"?"))="N"),"No",IF(OR(IF(C85="","", IFERROR(INDEX('Tax Residency Eligibility'!$B$4:$G$9,MATCH(C85,'Tax Residency Eligibility'!$A$4:$A$9,0),MATCH($A85,'Tax Residency Eligibility'!$B$3:$G$3,0)),"?"))="Check",IF(D85="","", IFERROR(INDEX('Tax Residency Eligibility'!$B$4:$G$9,MATCH(D85,'Tax Residency Eligibility'!$A$4:$A$9,0),MATCH($A85,'Tax Residency Eligibility'!$B$3:$G$3,0)),"?"))="Check",IF(E85="","", IFERROR(INDEX('Tax Residency Eligibility'!$B$4:$G$9,MATCH(E85,'Tax Residency Eligibility'!$A$4:$A$9,0),MATCH($A85,'Tax Residency Eligibility'!$B$3:$G$3,0)),"?"))="Check"),"Check directly","Yes"))</f>
        <v/>
      </c>
      <c r="G85" s="16">
        <f>IFERROR(VLOOKUP(C85,'Broker Fees'!$A$4:$G$9,7,0),0)+IF(D85="",0,IFERROR(VLOOKUP(D85,'Broker Fees'!$A$4:$G$9,7,0),0))+IF(E85="",0,IFERROR(VLOOKUP(E85,'Broker Fees'!$A$4:$G$9,7,0),0))</f>
        <v/>
      </c>
      <c r="H8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5" s="18">
        <f>VLOOKUP($A85,'Capital Gains Tax'!$A$4:$D$9,2,0)</f>
        <v/>
      </c>
      <c r="J85" s="18">
        <f>VLOOKUP($A85,'Capital Gains Tax'!$A$4:$D$9,3,0)</f>
        <v/>
      </c>
    </row>
    <row r="86" ht="15" customHeight="1">
      <c r="A86" s="9" t="inlineStr">
        <is>
          <t>EU</t>
        </is>
      </c>
      <c r="B86" s="9" t="inlineStr">
        <is>
          <t>IBKR</t>
        </is>
      </c>
      <c r="C86" s="15" t="inlineStr">
        <is>
          <t>IBKR</t>
        </is>
      </c>
      <c r="D86" s="15" t="n"/>
      <c r="E86" s="15" t="n"/>
      <c r="F86" s="9">
        <f>IF(OR(IF(C86="","", IFERROR(INDEX('Tax Residency Eligibility'!$B$4:$G$9,MATCH(C86,'Tax Residency Eligibility'!$A$4:$A$9,0),MATCH($A86,'Tax Residency Eligibility'!$B$3:$G$3,0)),"?"))="N",IF(D86="","", IFERROR(INDEX('Tax Residency Eligibility'!$B$4:$G$9,MATCH(D86,'Tax Residency Eligibility'!$A$4:$A$9,0),MATCH($A86,'Tax Residency Eligibility'!$B$3:$G$3,0)),"?"))="N",IF(E86="","", IFERROR(INDEX('Tax Residency Eligibility'!$B$4:$G$9,MATCH(E86,'Tax Residency Eligibility'!$A$4:$A$9,0),MATCH($A86,'Tax Residency Eligibility'!$B$3:$G$3,0)),"?"))="N"),"No",IF(OR(IF(C86="","", IFERROR(INDEX('Tax Residency Eligibility'!$B$4:$G$9,MATCH(C86,'Tax Residency Eligibility'!$A$4:$A$9,0),MATCH($A86,'Tax Residency Eligibility'!$B$3:$G$3,0)),"?"))="Check",IF(D86="","", IFERROR(INDEX('Tax Residency Eligibility'!$B$4:$G$9,MATCH(D86,'Tax Residency Eligibility'!$A$4:$A$9,0),MATCH($A86,'Tax Residency Eligibility'!$B$3:$G$3,0)),"?"))="Check",IF(E86="","", IFERROR(INDEX('Tax Residency Eligibility'!$B$4:$G$9,MATCH(E86,'Tax Residency Eligibility'!$A$4:$A$9,0),MATCH($A86,'Tax Residency Eligibility'!$B$3:$G$3,0)),"?"))="Check"),"Check directly","Yes"))</f>
        <v/>
      </c>
      <c r="G86" s="16">
        <f>IFERROR(VLOOKUP(C86,'Broker Fees'!$A$4:$G$9,7,0),0)+IF(D86="",0,IFERROR(VLOOKUP(D86,'Broker Fees'!$A$4:$G$9,7,0),0))+IF(E86="",0,IFERROR(VLOOKUP(E86,'Broker Fees'!$A$4:$G$9,7,0),0))</f>
        <v/>
      </c>
      <c r="H8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6" s="18">
        <f>VLOOKUP($A86,'Capital Gains Tax'!$A$4:$D$9,2,0)</f>
        <v/>
      </c>
      <c r="J86" s="18">
        <f>VLOOKUP($A86,'Capital Gains Tax'!$A$4:$D$9,3,0)</f>
        <v/>
      </c>
    </row>
    <row r="87" ht="15" customHeight="1">
      <c r="A87" s="9" t="inlineStr">
        <is>
          <t>EU</t>
        </is>
      </c>
      <c r="B87" s="9" t="inlineStr">
        <is>
          <t>Saxo</t>
        </is>
      </c>
      <c r="C87" s="15" t="inlineStr">
        <is>
          <t>Saxo</t>
        </is>
      </c>
      <c r="D87" s="15" t="n"/>
      <c r="E87" s="15" t="n"/>
      <c r="F87" s="9">
        <f>IF(OR(IF(C87="","", IFERROR(INDEX('Tax Residency Eligibility'!$B$4:$G$9,MATCH(C87,'Tax Residency Eligibility'!$A$4:$A$9,0),MATCH($A87,'Tax Residency Eligibility'!$B$3:$G$3,0)),"?"))="N",IF(D87="","", IFERROR(INDEX('Tax Residency Eligibility'!$B$4:$G$9,MATCH(D87,'Tax Residency Eligibility'!$A$4:$A$9,0),MATCH($A87,'Tax Residency Eligibility'!$B$3:$G$3,0)),"?"))="N",IF(E87="","", IFERROR(INDEX('Tax Residency Eligibility'!$B$4:$G$9,MATCH(E87,'Tax Residency Eligibility'!$A$4:$A$9,0),MATCH($A87,'Tax Residency Eligibility'!$B$3:$G$3,0)),"?"))="N"),"No",IF(OR(IF(C87="","", IFERROR(INDEX('Tax Residency Eligibility'!$B$4:$G$9,MATCH(C87,'Tax Residency Eligibility'!$A$4:$A$9,0),MATCH($A87,'Tax Residency Eligibility'!$B$3:$G$3,0)),"?"))="Check",IF(D87="","", IFERROR(INDEX('Tax Residency Eligibility'!$B$4:$G$9,MATCH(D87,'Tax Residency Eligibility'!$A$4:$A$9,0),MATCH($A87,'Tax Residency Eligibility'!$B$3:$G$3,0)),"?"))="Check",IF(E87="","", IFERROR(INDEX('Tax Residency Eligibility'!$B$4:$G$9,MATCH(E87,'Tax Residency Eligibility'!$A$4:$A$9,0),MATCH($A87,'Tax Residency Eligibility'!$B$3:$G$3,0)),"?"))="Check"),"Check directly","Yes"))</f>
        <v/>
      </c>
      <c r="G87" s="16">
        <f>IFERROR(VLOOKUP(C87,'Broker Fees'!$A$4:$G$9,7,0),0)+IF(D87="",0,IFERROR(VLOOKUP(D87,'Broker Fees'!$A$4:$G$9,7,0),0))+IF(E87="",0,IFERROR(VLOOKUP(E87,'Broker Fees'!$A$4:$G$9,7,0),0))</f>
        <v/>
      </c>
      <c r="H8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7" s="18">
        <f>VLOOKUP($A87,'Capital Gains Tax'!$A$4:$D$9,2,0)</f>
        <v/>
      </c>
      <c r="J87" s="18">
        <f>VLOOKUP($A87,'Capital Gains Tax'!$A$4:$D$9,3,0)</f>
        <v/>
      </c>
    </row>
    <row r="88" ht="15" customHeight="1">
      <c r="A88" s="9" t="inlineStr">
        <is>
          <t>EU</t>
        </is>
      </c>
      <c r="B88" s="9" t="inlineStr">
        <is>
          <t>Wio</t>
        </is>
      </c>
      <c r="C88" s="15" t="inlineStr">
        <is>
          <t>Wio</t>
        </is>
      </c>
      <c r="D88" s="15" t="n"/>
      <c r="E88" s="15" t="n"/>
      <c r="F88" s="9">
        <f>IF(OR(IF(C88="","", IFERROR(INDEX('Tax Residency Eligibility'!$B$4:$G$9,MATCH(C88,'Tax Residency Eligibility'!$A$4:$A$9,0),MATCH($A88,'Tax Residency Eligibility'!$B$3:$G$3,0)),"?"))="N",IF(D88="","", IFERROR(INDEX('Tax Residency Eligibility'!$B$4:$G$9,MATCH(D88,'Tax Residency Eligibility'!$A$4:$A$9,0),MATCH($A88,'Tax Residency Eligibility'!$B$3:$G$3,0)),"?"))="N",IF(E88="","", IFERROR(INDEX('Tax Residency Eligibility'!$B$4:$G$9,MATCH(E88,'Tax Residency Eligibility'!$A$4:$A$9,0),MATCH($A88,'Tax Residency Eligibility'!$B$3:$G$3,0)),"?"))="N"),"No",IF(OR(IF(C88="","", IFERROR(INDEX('Tax Residency Eligibility'!$B$4:$G$9,MATCH(C88,'Tax Residency Eligibility'!$A$4:$A$9,0),MATCH($A88,'Tax Residency Eligibility'!$B$3:$G$3,0)),"?"))="Check",IF(D88="","", IFERROR(INDEX('Tax Residency Eligibility'!$B$4:$G$9,MATCH(D88,'Tax Residency Eligibility'!$A$4:$A$9,0),MATCH($A88,'Tax Residency Eligibility'!$B$3:$G$3,0)),"?"))="Check",IF(E88="","", IFERROR(INDEX('Tax Residency Eligibility'!$B$4:$G$9,MATCH(E88,'Tax Residency Eligibility'!$A$4:$A$9,0),MATCH($A88,'Tax Residency Eligibility'!$B$3:$G$3,0)),"?"))="Check"),"Check directly","Yes"))</f>
        <v/>
      </c>
      <c r="G88" s="16">
        <f>IFERROR(VLOOKUP(C88,'Broker Fees'!$A$4:$G$9,7,0),0)+IF(D88="",0,IFERROR(VLOOKUP(D88,'Broker Fees'!$A$4:$G$9,7,0),0))+IF(E88="",0,IFERROR(VLOOKUP(E88,'Broker Fees'!$A$4:$G$9,7,0),0))</f>
        <v/>
      </c>
      <c r="H8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8" s="18">
        <f>VLOOKUP($A88,'Capital Gains Tax'!$A$4:$D$9,2,0)</f>
        <v/>
      </c>
      <c r="J88" s="18">
        <f>VLOOKUP($A88,'Capital Gains Tax'!$A$4:$D$9,3,0)</f>
        <v/>
      </c>
    </row>
    <row r="89" ht="15" customHeight="1">
      <c r="A89" s="9" t="inlineStr">
        <is>
          <t>EU</t>
        </is>
      </c>
      <c r="B89" s="9" t="inlineStr">
        <is>
          <t>Exante</t>
        </is>
      </c>
      <c r="C89" s="15" t="inlineStr">
        <is>
          <t>Exante</t>
        </is>
      </c>
      <c r="D89" s="15" t="n"/>
      <c r="E89" s="15" t="n"/>
      <c r="F89" s="9">
        <f>IF(OR(IF(C89="","", IFERROR(INDEX('Tax Residency Eligibility'!$B$4:$G$9,MATCH(C89,'Tax Residency Eligibility'!$A$4:$A$9,0),MATCH($A89,'Tax Residency Eligibility'!$B$3:$G$3,0)),"?"))="N",IF(D89="","", IFERROR(INDEX('Tax Residency Eligibility'!$B$4:$G$9,MATCH(D89,'Tax Residency Eligibility'!$A$4:$A$9,0),MATCH($A89,'Tax Residency Eligibility'!$B$3:$G$3,0)),"?"))="N",IF(E89="","", IFERROR(INDEX('Tax Residency Eligibility'!$B$4:$G$9,MATCH(E89,'Tax Residency Eligibility'!$A$4:$A$9,0),MATCH($A89,'Tax Residency Eligibility'!$B$3:$G$3,0)),"?"))="N"),"No",IF(OR(IF(C89="","", IFERROR(INDEX('Tax Residency Eligibility'!$B$4:$G$9,MATCH(C89,'Tax Residency Eligibility'!$A$4:$A$9,0),MATCH($A89,'Tax Residency Eligibility'!$B$3:$G$3,0)),"?"))="Check",IF(D89="","", IFERROR(INDEX('Tax Residency Eligibility'!$B$4:$G$9,MATCH(D89,'Tax Residency Eligibility'!$A$4:$A$9,0),MATCH($A89,'Tax Residency Eligibility'!$B$3:$G$3,0)),"?"))="Check",IF(E89="","", IFERROR(INDEX('Tax Residency Eligibility'!$B$4:$G$9,MATCH(E89,'Tax Residency Eligibility'!$A$4:$A$9,0),MATCH($A89,'Tax Residency Eligibility'!$B$3:$G$3,0)),"?"))="Check"),"Check directly","Yes"))</f>
        <v/>
      </c>
      <c r="G89" s="16">
        <f>IFERROR(VLOOKUP(C89,'Broker Fees'!$A$4:$G$9,7,0),0)+IF(D89="",0,IFERROR(VLOOKUP(D89,'Broker Fees'!$A$4:$G$9,7,0),0))+IF(E89="",0,IFERROR(VLOOKUP(E89,'Broker Fees'!$A$4:$G$9,7,0),0))</f>
        <v/>
      </c>
      <c r="H8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89" s="18">
        <f>VLOOKUP($A89,'Capital Gains Tax'!$A$4:$D$9,2,0)</f>
        <v/>
      </c>
      <c r="J89" s="18">
        <f>VLOOKUP($A89,'Capital Gains Tax'!$A$4:$D$9,3,0)</f>
        <v/>
      </c>
    </row>
    <row r="90" ht="15" customHeight="1">
      <c r="A90" s="9" t="inlineStr">
        <is>
          <t>EU</t>
        </is>
      </c>
      <c r="B90" s="9" t="inlineStr">
        <is>
          <t>Swissquote</t>
        </is>
      </c>
      <c r="C90" s="15" t="inlineStr">
        <is>
          <t>Swissquote</t>
        </is>
      </c>
      <c r="D90" s="15" t="n"/>
      <c r="E90" s="15" t="n"/>
      <c r="F90" s="9">
        <f>IF(OR(IF(C90="","", IFERROR(INDEX('Tax Residency Eligibility'!$B$4:$G$9,MATCH(C90,'Tax Residency Eligibility'!$A$4:$A$9,0),MATCH($A90,'Tax Residency Eligibility'!$B$3:$G$3,0)),"?"))="N",IF(D90="","", IFERROR(INDEX('Tax Residency Eligibility'!$B$4:$G$9,MATCH(D90,'Tax Residency Eligibility'!$A$4:$A$9,0),MATCH($A90,'Tax Residency Eligibility'!$B$3:$G$3,0)),"?"))="N",IF(E90="","", IFERROR(INDEX('Tax Residency Eligibility'!$B$4:$G$9,MATCH(E90,'Tax Residency Eligibility'!$A$4:$A$9,0),MATCH($A90,'Tax Residency Eligibility'!$B$3:$G$3,0)),"?"))="N"),"No",IF(OR(IF(C90="","", IFERROR(INDEX('Tax Residency Eligibility'!$B$4:$G$9,MATCH(C90,'Tax Residency Eligibility'!$A$4:$A$9,0),MATCH($A90,'Tax Residency Eligibility'!$B$3:$G$3,0)),"?"))="Check",IF(D90="","", IFERROR(INDEX('Tax Residency Eligibility'!$B$4:$G$9,MATCH(D90,'Tax Residency Eligibility'!$A$4:$A$9,0),MATCH($A90,'Tax Residency Eligibility'!$B$3:$G$3,0)),"?"))="Check",IF(E90="","", IFERROR(INDEX('Tax Residency Eligibility'!$B$4:$G$9,MATCH(E90,'Tax Residency Eligibility'!$A$4:$A$9,0),MATCH($A90,'Tax Residency Eligibility'!$B$3:$G$3,0)),"?"))="Check"),"Check directly","Yes"))</f>
        <v/>
      </c>
      <c r="G90" s="16">
        <f>IFERROR(VLOOKUP(C90,'Broker Fees'!$A$4:$G$9,7,0),0)+IF(D90="",0,IFERROR(VLOOKUP(D90,'Broker Fees'!$A$4:$G$9,7,0),0))+IF(E90="",0,IFERROR(VLOOKUP(E90,'Broker Fees'!$A$4:$G$9,7,0),0))</f>
        <v/>
      </c>
      <c r="H9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0" s="18">
        <f>VLOOKUP($A90,'Capital Gains Tax'!$A$4:$D$9,2,0)</f>
        <v/>
      </c>
      <c r="J90" s="18">
        <f>VLOOKUP($A90,'Capital Gains Tax'!$A$4:$D$9,3,0)</f>
        <v/>
      </c>
    </row>
    <row r="91" ht="15" customHeight="1">
      <c r="A91" s="9" t="inlineStr">
        <is>
          <t>EU</t>
        </is>
      </c>
      <c r="B91" s="9" t="inlineStr">
        <is>
          <t>XTB</t>
        </is>
      </c>
      <c r="C91" s="15" t="inlineStr">
        <is>
          <t>XTB</t>
        </is>
      </c>
      <c r="D91" s="15" t="n"/>
      <c r="E91" s="15" t="n"/>
      <c r="F91" s="9">
        <f>IF(OR(IF(C91="","", IFERROR(INDEX('Tax Residency Eligibility'!$B$4:$G$9,MATCH(C91,'Tax Residency Eligibility'!$A$4:$A$9,0),MATCH($A91,'Tax Residency Eligibility'!$B$3:$G$3,0)),"?"))="N",IF(D91="","", IFERROR(INDEX('Tax Residency Eligibility'!$B$4:$G$9,MATCH(D91,'Tax Residency Eligibility'!$A$4:$A$9,0),MATCH($A91,'Tax Residency Eligibility'!$B$3:$G$3,0)),"?"))="N",IF(E91="","", IFERROR(INDEX('Tax Residency Eligibility'!$B$4:$G$9,MATCH(E91,'Tax Residency Eligibility'!$A$4:$A$9,0),MATCH($A91,'Tax Residency Eligibility'!$B$3:$G$3,0)),"?"))="N"),"No",IF(OR(IF(C91="","", IFERROR(INDEX('Tax Residency Eligibility'!$B$4:$G$9,MATCH(C91,'Tax Residency Eligibility'!$A$4:$A$9,0),MATCH($A91,'Tax Residency Eligibility'!$B$3:$G$3,0)),"?"))="Check",IF(D91="","", IFERROR(INDEX('Tax Residency Eligibility'!$B$4:$G$9,MATCH(D91,'Tax Residency Eligibility'!$A$4:$A$9,0),MATCH($A91,'Tax Residency Eligibility'!$B$3:$G$3,0)),"?"))="Check",IF(E91="","", IFERROR(INDEX('Tax Residency Eligibility'!$B$4:$G$9,MATCH(E91,'Tax Residency Eligibility'!$A$4:$A$9,0),MATCH($A91,'Tax Residency Eligibility'!$B$3:$G$3,0)),"?"))="Check"),"Check directly","Yes"))</f>
        <v/>
      </c>
      <c r="G91" s="16">
        <f>IFERROR(VLOOKUP(C91,'Broker Fees'!$A$4:$G$9,7,0),0)+IF(D91="",0,IFERROR(VLOOKUP(D91,'Broker Fees'!$A$4:$G$9,7,0),0))+IF(E91="",0,IFERROR(VLOOKUP(E91,'Broker Fees'!$A$4:$G$9,7,0),0))</f>
        <v/>
      </c>
      <c r="H9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1" s="18">
        <f>VLOOKUP($A91,'Capital Gains Tax'!$A$4:$D$9,2,0)</f>
        <v/>
      </c>
      <c r="J91" s="18">
        <f>VLOOKUP($A91,'Capital Gains Tax'!$A$4:$D$9,3,0)</f>
        <v/>
      </c>
    </row>
    <row r="92" ht="15" customHeight="1">
      <c r="A92" s="9" t="inlineStr">
        <is>
          <t>EU</t>
        </is>
      </c>
      <c r="B92" s="9" t="inlineStr">
        <is>
          <t>IBKR+Saxo</t>
        </is>
      </c>
      <c r="C92" s="15" t="inlineStr">
        <is>
          <t>IBKR</t>
        </is>
      </c>
      <c r="D92" s="15" t="inlineStr">
        <is>
          <t>Saxo</t>
        </is>
      </c>
      <c r="E92" s="15" t="n"/>
      <c r="F92" s="9">
        <f>IF(OR(IF(C92="","", IFERROR(INDEX('Tax Residency Eligibility'!$B$4:$G$9,MATCH(C92,'Tax Residency Eligibility'!$A$4:$A$9,0),MATCH($A92,'Tax Residency Eligibility'!$B$3:$G$3,0)),"?"))="N",IF(D92="","", IFERROR(INDEX('Tax Residency Eligibility'!$B$4:$G$9,MATCH(D92,'Tax Residency Eligibility'!$A$4:$A$9,0),MATCH($A92,'Tax Residency Eligibility'!$B$3:$G$3,0)),"?"))="N",IF(E92="","", IFERROR(INDEX('Tax Residency Eligibility'!$B$4:$G$9,MATCH(E92,'Tax Residency Eligibility'!$A$4:$A$9,0),MATCH($A92,'Tax Residency Eligibility'!$B$3:$G$3,0)),"?"))="N"),"No",IF(OR(IF(C92="","", IFERROR(INDEX('Tax Residency Eligibility'!$B$4:$G$9,MATCH(C92,'Tax Residency Eligibility'!$A$4:$A$9,0),MATCH($A92,'Tax Residency Eligibility'!$B$3:$G$3,0)),"?"))="Check",IF(D92="","", IFERROR(INDEX('Tax Residency Eligibility'!$B$4:$G$9,MATCH(D92,'Tax Residency Eligibility'!$A$4:$A$9,0),MATCH($A92,'Tax Residency Eligibility'!$B$3:$G$3,0)),"?"))="Check",IF(E92="","", IFERROR(INDEX('Tax Residency Eligibility'!$B$4:$G$9,MATCH(E92,'Tax Residency Eligibility'!$A$4:$A$9,0),MATCH($A92,'Tax Residency Eligibility'!$B$3:$G$3,0)),"?"))="Check"),"Check directly","Yes"))</f>
        <v/>
      </c>
      <c r="G92" s="16">
        <f>IFERROR(VLOOKUP(C92,'Broker Fees'!$A$4:$G$9,7,0),0)+IF(D92="",0,IFERROR(VLOOKUP(D92,'Broker Fees'!$A$4:$G$9,7,0),0))+IF(E92="",0,IFERROR(VLOOKUP(E92,'Broker Fees'!$A$4:$G$9,7,0),0))</f>
        <v/>
      </c>
      <c r="H9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2" s="18">
        <f>VLOOKUP($A92,'Capital Gains Tax'!$A$4:$D$9,2,0)</f>
        <v/>
      </c>
      <c r="J92" s="18">
        <f>VLOOKUP($A92,'Capital Gains Tax'!$A$4:$D$9,3,0)</f>
        <v/>
      </c>
    </row>
    <row r="93" ht="15" customHeight="1">
      <c r="A93" s="9" t="inlineStr">
        <is>
          <t>EU</t>
        </is>
      </c>
      <c r="B93" s="9" t="inlineStr">
        <is>
          <t>IBKR+Wio</t>
        </is>
      </c>
      <c r="C93" s="15" t="inlineStr">
        <is>
          <t>IBKR</t>
        </is>
      </c>
      <c r="D93" s="15" t="inlineStr">
        <is>
          <t>Wio</t>
        </is>
      </c>
      <c r="E93" s="15" t="n"/>
      <c r="F93" s="9">
        <f>IF(OR(IF(C93="","", IFERROR(INDEX('Tax Residency Eligibility'!$B$4:$G$9,MATCH(C93,'Tax Residency Eligibility'!$A$4:$A$9,0),MATCH($A93,'Tax Residency Eligibility'!$B$3:$G$3,0)),"?"))="N",IF(D93="","", IFERROR(INDEX('Tax Residency Eligibility'!$B$4:$G$9,MATCH(D93,'Tax Residency Eligibility'!$A$4:$A$9,0),MATCH($A93,'Tax Residency Eligibility'!$B$3:$G$3,0)),"?"))="N",IF(E93="","", IFERROR(INDEX('Tax Residency Eligibility'!$B$4:$G$9,MATCH(E93,'Tax Residency Eligibility'!$A$4:$A$9,0),MATCH($A93,'Tax Residency Eligibility'!$B$3:$G$3,0)),"?"))="N"),"No",IF(OR(IF(C93="","", IFERROR(INDEX('Tax Residency Eligibility'!$B$4:$G$9,MATCH(C93,'Tax Residency Eligibility'!$A$4:$A$9,0),MATCH($A93,'Tax Residency Eligibility'!$B$3:$G$3,0)),"?"))="Check",IF(D93="","", IFERROR(INDEX('Tax Residency Eligibility'!$B$4:$G$9,MATCH(D93,'Tax Residency Eligibility'!$A$4:$A$9,0),MATCH($A93,'Tax Residency Eligibility'!$B$3:$G$3,0)),"?"))="Check",IF(E93="","", IFERROR(INDEX('Tax Residency Eligibility'!$B$4:$G$9,MATCH(E93,'Tax Residency Eligibility'!$A$4:$A$9,0),MATCH($A93,'Tax Residency Eligibility'!$B$3:$G$3,0)),"?"))="Check"),"Check directly","Yes"))</f>
        <v/>
      </c>
      <c r="G93" s="16">
        <f>IFERROR(VLOOKUP(C93,'Broker Fees'!$A$4:$G$9,7,0),0)+IF(D93="",0,IFERROR(VLOOKUP(D93,'Broker Fees'!$A$4:$G$9,7,0),0))+IF(E93="",0,IFERROR(VLOOKUP(E93,'Broker Fees'!$A$4:$G$9,7,0),0))</f>
        <v/>
      </c>
      <c r="H9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3" s="18">
        <f>VLOOKUP($A93,'Capital Gains Tax'!$A$4:$D$9,2,0)</f>
        <v/>
      </c>
      <c r="J93" s="18">
        <f>VLOOKUP($A93,'Capital Gains Tax'!$A$4:$D$9,3,0)</f>
        <v/>
      </c>
    </row>
    <row r="94" ht="15" customHeight="1">
      <c r="A94" s="9" t="inlineStr">
        <is>
          <t>EU</t>
        </is>
      </c>
      <c r="B94" s="9" t="inlineStr">
        <is>
          <t>IBKR+Exante</t>
        </is>
      </c>
      <c r="C94" s="15" t="inlineStr">
        <is>
          <t>IBKR</t>
        </is>
      </c>
      <c r="D94" s="15" t="inlineStr">
        <is>
          <t>Exante</t>
        </is>
      </c>
      <c r="E94" s="15" t="n"/>
      <c r="F94" s="9">
        <f>IF(OR(IF(C94="","", IFERROR(INDEX('Tax Residency Eligibility'!$B$4:$G$9,MATCH(C94,'Tax Residency Eligibility'!$A$4:$A$9,0),MATCH($A94,'Tax Residency Eligibility'!$B$3:$G$3,0)),"?"))="N",IF(D94="","", IFERROR(INDEX('Tax Residency Eligibility'!$B$4:$G$9,MATCH(D94,'Tax Residency Eligibility'!$A$4:$A$9,0),MATCH($A94,'Tax Residency Eligibility'!$B$3:$G$3,0)),"?"))="N",IF(E94="","", IFERROR(INDEX('Tax Residency Eligibility'!$B$4:$G$9,MATCH(E94,'Tax Residency Eligibility'!$A$4:$A$9,0),MATCH($A94,'Tax Residency Eligibility'!$B$3:$G$3,0)),"?"))="N"),"No",IF(OR(IF(C94="","", IFERROR(INDEX('Tax Residency Eligibility'!$B$4:$G$9,MATCH(C94,'Tax Residency Eligibility'!$A$4:$A$9,0),MATCH($A94,'Tax Residency Eligibility'!$B$3:$G$3,0)),"?"))="Check",IF(D94="","", IFERROR(INDEX('Tax Residency Eligibility'!$B$4:$G$9,MATCH(D94,'Tax Residency Eligibility'!$A$4:$A$9,0),MATCH($A94,'Tax Residency Eligibility'!$B$3:$G$3,0)),"?"))="Check",IF(E94="","", IFERROR(INDEX('Tax Residency Eligibility'!$B$4:$G$9,MATCH(E94,'Tax Residency Eligibility'!$A$4:$A$9,0),MATCH($A94,'Tax Residency Eligibility'!$B$3:$G$3,0)),"?"))="Check"),"Check directly","Yes"))</f>
        <v/>
      </c>
      <c r="G94" s="16">
        <f>IFERROR(VLOOKUP(C94,'Broker Fees'!$A$4:$G$9,7,0),0)+IF(D94="",0,IFERROR(VLOOKUP(D94,'Broker Fees'!$A$4:$G$9,7,0),0))+IF(E94="",0,IFERROR(VLOOKUP(E94,'Broker Fees'!$A$4:$G$9,7,0),0))</f>
        <v/>
      </c>
      <c r="H9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4" s="18">
        <f>VLOOKUP($A94,'Capital Gains Tax'!$A$4:$D$9,2,0)</f>
        <v/>
      </c>
      <c r="J94" s="18">
        <f>VLOOKUP($A94,'Capital Gains Tax'!$A$4:$D$9,3,0)</f>
        <v/>
      </c>
    </row>
    <row r="95" ht="15" customHeight="1">
      <c r="A95" s="9" t="inlineStr">
        <is>
          <t>EU</t>
        </is>
      </c>
      <c r="B95" s="9" t="inlineStr">
        <is>
          <t>IBKR+Swissquote</t>
        </is>
      </c>
      <c r="C95" s="15" t="inlineStr">
        <is>
          <t>IBKR</t>
        </is>
      </c>
      <c r="D95" s="15" t="inlineStr">
        <is>
          <t>Swissquote</t>
        </is>
      </c>
      <c r="E95" s="15" t="n"/>
      <c r="F95" s="9">
        <f>IF(OR(IF(C95="","", IFERROR(INDEX('Tax Residency Eligibility'!$B$4:$G$9,MATCH(C95,'Tax Residency Eligibility'!$A$4:$A$9,0),MATCH($A95,'Tax Residency Eligibility'!$B$3:$G$3,0)),"?"))="N",IF(D95="","", IFERROR(INDEX('Tax Residency Eligibility'!$B$4:$G$9,MATCH(D95,'Tax Residency Eligibility'!$A$4:$A$9,0),MATCH($A95,'Tax Residency Eligibility'!$B$3:$G$3,0)),"?"))="N",IF(E95="","", IFERROR(INDEX('Tax Residency Eligibility'!$B$4:$G$9,MATCH(E95,'Tax Residency Eligibility'!$A$4:$A$9,0),MATCH($A95,'Tax Residency Eligibility'!$B$3:$G$3,0)),"?"))="N"),"No",IF(OR(IF(C95="","", IFERROR(INDEX('Tax Residency Eligibility'!$B$4:$G$9,MATCH(C95,'Tax Residency Eligibility'!$A$4:$A$9,0),MATCH($A95,'Tax Residency Eligibility'!$B$3:$G$3,0)),"?"))="Check",IF(D95="","", IFERROR(INDEX('Tax Residency Eligibility'!$B$4:$G$9,MATCH(D95,'Tax Residency Eligibility'!$A$4:$A$9,0),MATCH($A95,'Tax Residency Eligibility'!$B$3:$G$3,0)),"?"))="Check",IF(E95="","", IFERROR(INDEX('Tax Residency Eligibility'!$B$4:$G$9,MATCH(E95,'Tax Residency Eligibility'!$A$4:$A$9,0),MATCH($A95,'Tax Residency Eligibility'!$B$3:$G$3,0)),"?"))="Check"),"Check directly","Yes"))</f>
        <v/>
      </c>
      <c r="G95" s="16">
        <f>IFERROR(VLOOKUP(C95,'Broker Fees'!$A$4:$G$9,7,0),0)+IF(D95="",0,IFERROR(VLOOKUP(D95,'Broker Fees'!$A$4:$G$9,7,0),0))+IF(E95="",0,IFERROR(VLOOKUP(E95,'Broker Fees'!$A$4:$G$9,7,0),0))</f>
        <v/>
      </c>
      <c r="H9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5" s="18">
        <f>VLOOKUP($A95,'Capital Gains Tax'!$A$4:$D$9,2,0)</f>
        <v/>
      </c>
      <c r="J95" s="18">
        <f>VLOOKUP($A95,'Capital Gains Tax'!$A$4:$D$9,3,0)</f>
        <v/>
      </c>
    </row>
    <row r="96" ht="15" customHeight="1">
      <c r="A96" s="9" t="inlineStr">
        <is>
          <t>EU</t>
        </is>
      </c>
      <c r="B96" s="9" t="inlineStr">
        <is>
          <t>IBKR+XTB</t>
        </is>
      </c>
      <c r="C96" s="15" t="inlineStr">
        <is>
          <t>IBKR</t>
        </is>
      </c>
      <c r="D96" s="15" t="inlineStr">
        <is>
          <t>XTB</t>
        </is>
      </c>
      <c r="E96" s="15" t="n"/>
      <c r="F96" s="9">
        <f>IF(OR(IF(C96="","", IFERROR(INDEX('Tax Residency Eligibility'!$B$4:$G$9,MATCH(C96,'Tax Residency Eligibility'!$A$4:$A$9,0),MATCH($A96,'Tax Residency Eligibility'!$B$3:$G$3,0)),"?"))="N",IF(D96="","", IFERROR(INDEX('Tax Residency Eligibility'!$B$4:$G$9,MATCH(D96,'Tax Residency Eligibility'!$A$4:$A$9,0),MATCH($A96,'Tax Residency Eligibility'!$B$3:$G$3,0)),"?"))="N",IF(E96="","", IFERROR(INDEX('Tax Residency Eligibility'!$B$4:$G$9,MATCH(E96,'Tax Residency Eligibility'!$A$4:$A$9,0),MATCH($A96,'Tax Residency Eligibility'!$B$3:$G$3,0)),"?"))="N"),"No",IF(OR(IF(C96="","", IFERROR(INDEX('Tax Residency Eligibility'!$B$4:$G$9,MATCH(C96,'Tax Residency Eligibility'!$A$4:$A$9,0),MATCH($A96,'Tax Residency Eligibility'!$B$3:$G$3,0)),"?"))="Check",IF(D96="","", IFERROR(INDEX('Tax Residency Eligibility'!$B$4:$G$9,MATCH(D96,'Tax Residency Eligibility'!$A$4:$A$9,0),MATCH($A96,'Tax Residency Eligibility'!$B$3:$G$3,0)),"?"))="Check",IF(E96="","", IFERROR(INDEX('Tax Residency Eligibility'!$B$4:$G$9,MATCH(E96,'Tax Residency Eligibility'!$A$4:$A$9,0),MATCH($A96,'Tax Residency Eligibility'!$B$3:$G$3,0)),"?"))="Check"),"Check directly","Yes"))</f>
        <v/>
      </c>
      <c r="G96" s="16">
        <f>IFERROR(VLOOKUP(C96,'Broker Fees'!$A$4:$G$9,7,0),0)+IF(D96="",0,IFERROR(VLOOKUP(D96,'Broker Fees'!$A$4:$G$9,7,0),0))+IF(E96="",0,IFERROR(VLOOKUP(E96,'Broker Fees'!$A$4:$G$9,7,0),0))</f>
        <v/>
      </c>
      <c r="H9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6" s="18">
        <f>VLOOKUP($A96,'Capital Gains Tax'!$A$4:$D$9,2,0)</f>
        <v/>
      </c>
      <c r="J96" s="18">
        <f>VLOOKUP($A96,'Capital Gains Tax'!$A$4:$D$9,3,0)</f>
        <v/>
      </c>
    </row>
    <row r="97" ht="15" customHeight="1">
      <c r="A97" s="9" t="inlineStr">
        <is>
          <t>EU</t>
        </is>
      </c>
      <c r="B97" s="9" t="inlineStr">
        <is>
          <t>Saxo+Wio</t>
        </is>
      </c>
      <c r="C97" s="15" t="inlineStr">
        <is>
          <t>Saxo</t>
        </is>
      </c>
      <c r="D97" s="15" t="inlineStr">
        <is>
          <t>Wio</t>
        </is>
      </c>
      <c r="E97" s="15" t="n"/>
      <c r="F97" s="9">
        <f>IF(OR(IF(C97="","", IFERROR(INDEX('Tax Residency Eligibility'!$B$4:$G$9,MATCH(C97,'Tax Residency Eligibility'!$A$4:$A$9,0),MATCH($A97,'Tax Residency Eligibility'!$B$3:$G$3,0)),"?"))="N",IF(D97="","", IFERROR(INDEX('Tax Residency Eligibility'!$B$4:$G$9,MATCH(D97,'Tax Residency Eligibility'!$A$4:$A$9,0),MATCH($A97,'Tax Residency Eligibility'!$B$3:$G$3,0)),"?"))="N",IF(E97="","", IFERROR(INDEX('Tax Residency Eligibility'!$B$4:$G$9,MATCH(E97,'Tax Residency Eligibility'!$A$4:$A$9,0),MATCH($A97,'Tax Residency Eligibility'!$B$3:$G$3,0)),"?"))="N"),"No",IF(OR(IF(C97="","", IFERROR(INDEX('Tax Residency Eligibility'!$B$4:$G$9,MATCH(C97,'Tax Residency Eligibility'!$A$4:$A$9,0),MATCH($A97,'Tax Residency Eligibility'!$B$3:$G$3,0)),"?"))="Check",IF(D97="","", IFERROR(INDEX('Tax Residency Eligibility'!$B$4:$G$9,MATCH(D97,'Tax Residency Eligibility'!$A$4:$A$9,0),MATCH($A97,'Tax Residency Eligibility'!$B$3:$G$3,0)),"?"))="Check",IF(E97="","", IFERROR(INDEX('Tax Residency Eligibility'!$B$4:$G$9,MATCH(E97,'Tax Residency Eligibility'!$A$4:$A$9,0),MATCH($A97,'Tax Residency Eligibility'!$B$3:$G$3,0)),"?"))="Check"),"Check directly","Yes"))</f>
        <v/>
      </c>
      <c r="G97" s="16">
        <f>IFERROR(VLOOKUP(C97,'Broker Fees'!$A$4:$G$9,7,0),0)+IF(D97="",0,IFERROR(VLOOKUP(D97,'Broker Fees'!$A$4:$G$9,7,0),0))+IF(E97="",0,IFERROR(VLOOKUP(E97,'Broker Fees'!$A$4:$G$9,7,0),0))</f>
        <v/>
      </c>
      <c r="H9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7" s="18">
        <f>VLOOKUP($A97,'Capital Gains Tax'!$A$4:$D$9,2,0)</f>
        <v/>
      </c>
      <c r="J97" s="18">
        <f>VLOOKUP($A97,'Capital Gains Tax'!$A$4:$D$9,3,0)</f>
        <v/>
      </c>
    </row>
    <row r="98" ht="15" customHeight="1">
      <c r="A98" s="9" t="inlineStr">
        <is>
          <t>EU</t>
        </is>
      </c>
      <c r="B98" s="9" t="inlineStr">
        <is>
          <t>Saxo+Exante</t>
        </is>
      </c>
      <c r="C98" s="15" t="inlineStr">
        <is>
          <t>Saxo</t>
        </is>
      </c>
      <c r="D98" s="15" t="inlineStr">
        <is>
          <t>Exante</t>
        </is>
      </c>
      <c r="E98" s="15" t="n"/>
      <c r="F98" s="9">
        <f>IF(OR(IF(C98="","", IFERROR(INDEX('Tax Residency Eligibility'!$B$4:$G$9,MATCH(C98,'Tax Residency Eligibility'!$A$4:$A$9,0),MATCH($A98,'Tax Residency Eligibility'!$B$3:$G$3,0)),"?"))="N",IF(D98="","", IFERROR(INDEX('Tax Residency Eligibility'!$B$4:$G$9,MATCH(D98,'Tax Residency Eligibility'!$A$4:$A$9,0),MATCH($A98,'Tax Residency Eligibility'!$B$3:$G$3,0)),"?"))="N",IF(E98="","", IFERROR(INDEX('Tax Residency Eligibility'!$B$4:$G$9,MATCH(E98,'Tax Residency Eligibility'!$A$4:$A$9,0),MATCH($A98,'Tax Residency Eligibility'!$B$3:$G$3,0)),"?"))="N"),"No",IF(OR(IF(C98="","", IFERROR(INDEX('Tax Residency Eligibility'!$B$4:$G$9,MATCH(C98,'Tax Residency Eligibility'!$A$4:$A$9,0),MATCH($A98,'Tax Residency Eligibility'!$B$3:$G$3,0)),"?"))="Check",IF(D98="","", IFERROR(INDEX('Tax Residency Eligibility'!$B$4:$G$9,MATCH(D98,'Tax Residency Eligibility'!$A$4:$A$9,0),MATCH($A98,'Tax Residency Eligibility'!$B$3:$G$3,0)),"?"))="Check",IF(E98="","", IFERROR(INDEX('Tax Residency Eligibility'!$B$4:$G$9,MATCH(E98,'Tax Residency Eligibility'!$A$4:$A$9,0),MATCH($A98,'Tax Residency Eligibility'!$B$3:$G$3,0)),"?"))="Check"),"Check directly","Yes"))</f>
        <v/>
      </c>
      <c r="G98" s="16">
        <f>IFERROR(VLOOKUP(C98,'Broker Fees'!$A$4:$G$9,7,0),0)+IF(D98="",0,IFERROR(VLOOKUP(D98,'Broker Fees'!$A$4:$G$9,7,0),0))+IF(E98="",0,IFERROR(VLOOKUP(E98,'Broker Fees'!$A$4:$G$9,7,0),0))</f>
        <v/>
      </c>
      <c r="H9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8" s="18">
        <f>VLOOKUP($A98,'Capital Gains Tax'!$A$4:$D$9,2,0)</f>
        <v/>
      </c>
      <c r="J98" s="18">
        <f>VLOOKUP($A98,'Capital Gains Tax'!$A$4:$D$9,3,0)</f>
        <v/>
      </c>
    </row>
    <row r="99" ht="15" customHeight="1">
      <c r="A99" s="9" t="inlineStr">
        <is>
          <t>EU</t>
        </is>
      </c>
      <c r="B99" s="9" t="inlineStr">
        <is>
          <t>Saxo+Swissquote</t>
        </is>
      </c>
      <c r="C99" s="15" t="inlineStr">
        <is>
          <t>Saxo</t>
        </is>
      </c>
      <c r="D99" s="15" t="inlineStr">
        <is>
          <t>Swissquote</t>
        </is>
      </c>
      <c r="E99" s="15" t="n"/>
      <c r="F99" s="9">
        <f>IF(OR(IF(C99="","", IFERROR(INDEX('Tax Residency Eligibility'!$B$4:$G$9,MATCH(C99,'Tax Residency Eligibility'!$A$4:$A$9,0),MATCH($A99,'Tax Residency Eligibility'!$B$3:$G$3,0)),"?"))="N",IF(D99="","", IFERROR(INDEX('Tax Residency Eligibility'!$B$4:$G$9,MATCH(D99,'Tax Residency Eligibility'!$A$4:$A$9,0),MATCH($A99,'Tax Residency Eligibility'!$B$3:$G$3,0)),"?"))="N",IF(E99="","", IFERROR(INDEX('Tax Residency Eligibility'!$B$4:$G$9,MATCH(E99,'Tax Residency Eligibility'!$A$4:$A$9,0),MATCH($A99,'Tax Residency Eligibility'!$B$3:$G$3,0)),"?"))="N"),"No",IF(OR(IF(C99="","", IFERROR(INDEX('Tax Residency Eligibility'!$B$4:$G$9,MATCH(C99,'Tax Residency Eligibility'!$A$4:$A$9,0),MATCH($A99,'Tax Residency Eligibility'!$B$3:$G$3,0)),"?"))="Check",IF(D99="","", IFERROR(INDEX('Tax Residency Eligibility'!$B$4:$G$9,MATCH(D99,'Tax Residency Eligibility'!$A$4:$A$9,0),MATCH($A99,'Tax Residency Eligibility'!$B$3:$G$3,0)),"?"))="Check",IF(E99="","", IFERROR(INDEX('Tax Residency Eligibility'!$B$4:$G$9,MATCH(E99,'Tax Residency Eligibility'!$A$4:$A$9,0),MATCH($A99,'Tax Residency Eligibility'!$B$3:$G$3,0)),"?"))="Check"),"Check directly","Yes"))</f>
        <v/>
      </c>
      <c r="G99" s="16">
        <f>IFERROR(VLOOKUP(C99,'Broker Fees'!$A$4:$G$9,7,0),0)+IF(D99="",0,IFERROR(VLOOKUP(D99,'Broker Fees'!$A$4:$G$9,7,0),0))+IF(E99="",0,IFERROR(VLOOKUP(E99,'Broker Fees'!$A$4:$G$9,7,0),0))</f>
        <v/>
      </c>
      <c r="H9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99" s="18">
        <f>VLOOKUP($A99,'Capital Gains Tax'!$A$4:$D$9,2,0)</f>
        <v/>
      </c>
      <c r="J99" s="18">
        <f>VLOOKUP($A99,'Capital Gains Tax'!$A$4:$D$9,3,0)</f>
        <v/>
      </c>
    </row>
    <row r="100" ht="15" customHeight="1">
      <c r="A100" s="9" t="inlineStr">
        <is>
          <t>EU</t>
        </is>
      </c>
      <c r="B100" s="9" t="inlineStr">
        <is>
          <t>Saxo+XTB</t>
        </is>
      </c>
      <c r="C100" s="15" t="inlineStr">
        <is>
          <t>Saxo</t>
        </is>
      </c>
      <c r="D100" s="15" t="inlineStr">
        <is>
          <t>XTB</t>
        </is>
      </c>
      <c r="E100" s="15" t="n"/>
      <c r="F100" s="9">
        <f>IF(OR(IF(C100="","", IFERROR(INDEX('Tax Residency Eligibility'!$B$4:$G$9,MATCH(C100,'Tax Residency Eligibility'!$A$4:$A$9,0),MATCH($A100,'Tax Residency Eligibility'!$B$3:$G$3,0)),"?"))="N",IF(D100="","", IFERROR(INDEX('Tax Residency Eligibility'!$B$4:$G$9,MATCH(D100,'Tax Residency Eligibility'!$A$4:$A$9,0),MATCH($A100,'Tax Residency Eligibility'!$B$3:$G$3,0)),"?"))="N",IF(E100="","", IFERROR(INDEX('Tax Residency Eligibility'!$B$4:$G$9,MATCH(E100,'Tax Residency Eligibility'!$A$4:$A$9,0),MATCH($A100,'Tax Residency Eligibility'!$B$3:$G$3,0)),"?"))="N"),"No",IF(OR(IF(C100="","", IFERROR(INDEX('Tax Residency Eligibility'!$B$4:$G$9,MATCH(C100,'Tax Residency Eligibility'!$A$4:$A$9,0),MATCH($A100,'Tax Residency Eligibility'!$B$3:$G$3,0)),"?"))="Check",IF(D100="","", IFERROR(INDEX('Tax Residency Eligibility'!$B$4:$G$9,MATCH(D100,'Tax Residency Eligibility'!$A$4:$A$9,0),MATCH($A100,'Tax Residency Eligibility'!$B$3:$G$3,0)),"?"))="Check",IF(E100="","", IFERROR(INDEX('Tax Residency Eligibility'!$B$4:$G$9,MATCH(E100,'Tax Residency Eligibility'!$A$4:$A$9,0),MATCH($A100,'Tax Residency Eligibility'!$B$3:$G$3,0)),"?"))="Check"),"Check directly","Yes"))</f>
        <v/>
      </c>
      <c r="G100" s="16">
        <f>IFERROR(VLOOKUP(C100,'Broker Fees'!$A$4:$G$9,7,0),0)+IF(D100="",0,IFERROR(VLOOKUP(D100,'Broker Fees'!$A$4:$G$9,7,0),0))+IF(E100="",0,IFERROR(VLOOKUP(E100,'Broker Fees'!$A$4:$G$9,7,0),0))</f>
        <v/>
      </c>
      <c r="H10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0" s="18">
        <f>VLOOKUP($A100,'Capital Gains Tax'!$A$4:$D$9,2,0)</f>
        <v/>
      </c>
      <c r="J100" s="18">
        <f>VLOOKUP($A100,'Capital Gains Tax'!$A$4:$D$9,3,0)</f>
        <v/>
      </c>
    </row>
    <row r="101" ht="15" customHeight="1">
      <c r="A101" s="9" t="inlineStr">
        <is>
          <t>EU</t>
        </is>
      </c>
      <c r="B101" s="9" t="inlineStr">
        <is>
          <t>Wio+Exante</t>
        </is>
      </c>
      <c r="C101" s="15" t="inlineStr">
        <is>
          <t>Wio</t>
        </is>
      </c>
      <c r="D101" s="15" t="inlineStr">
        <is>
          <t>Exante</t>
        </is>
      </c>
      <c r="E101" s="15" t="n"/>
      <c r="F101" s="9">
        <f>IF(OR(IF(C101="","", IFERROR(INDEX('Tax Residency Eligibility'!$B$4:$G$9,MATCH(C101,'Tax Residency Eligibility'!$A$4:$A$9,0),MATCH($A101,'Tax Residency Eligibility'!$B$3:$G$3,0)),"?"))="N",IF(D101="","", IFERROR(INDEX('Tax Residency Eligibility'!$B$4:$G$9,MATCH(D101,'Tax Residency Eligibility'!$A$4:$A$9,0),MATCH($A101,'Tax Residency Eligibility'!$B$3:$G$3,0)),"?"))="N",IF(E101="","", IFERROR(INDEX('Tax Residency Eligibility'!$B$4:$G$9,MATCH(E101,'Tax Residency Eligibility'!$A$4:$A$9,0),MATCH($A101,'Tax Residency Eligibility'!$B$3:$G$3,0)),"?"))="N"),"No",IF(OR(IF(C101="","", IFERROR(INDEX('Tax Residency Eligibility'!$B$4:$G$9,MATCH(C101,'Tax Residency Eligibility'!$A$4:$A$9,0),MATCH($A101,'Tax Residency Eligibility'!$B$3:$G$3,0)),"?"))="Check",IF(D101="","", IFERROR(INDEX('Tax Residency Eligibility'!$B$4:$G$9,MATCH(D101,'Tax Residency Eligibility'!$A$4:$A$9,0),MATCH($A101,'Tax Residency Eligibility'!$B$3:$G$3,0)),"?"))="Check",IF(E101="","", IFERROR(INDEX('Tax Residency Eligibility'!$B$4:$G$9,MATCH(E101,'Tax Residency Eligibility'!$A$4:$A$9,0),MATCH($A101,'Tax Residency Eligibility'!$B$3:$G$3,0)),"?"))="Check"),"Check directly","Yes"))</f>
        <v/>
      </c>
      <c r="G101" s="16">
        <f>IFERROR(VLOOKUP(C101,'Broker Fees'!$A$4:$G$9,7,0),0)+IF(D101="",0,IFERROR(VLOOKUP(D101,'Broker Fees'!$A$4:$G$9,7,0),0))+IF(E101="",0,IFERROR(VLOOKUP(E101,'Broker Fees'!$A$4:$G$9,7,0),0))</f>
        <v/>
      </c>
      <c r="H10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1" s="18">
        <f>VLOOKUP($A101,'Capital Gains Tax'!$A$4:$D$9,2,0)</f>
        <v/>
      </c>
      <c r="J101" s="18">
        <f>VLOOKUP($A101,'Capital Gains Tax'!$A$4:$D$9,3,0)</f>
        <v/>
      </c>
    </row>
    <row r="102" ht="15" customHeight="1">
      <c r="A102" s="9" t="inlineStr">
        <is>
          <t>EU</t>
        </is>
      </c>
      <c r="B102" s="9" t="inlineStr">
        <is>
          <t>Wio+Swissquote</t>
        </is>
      </c>
      <c r="C102" s="15" t="inlineStr">
        <is>
          <t>Wio</t>
        </is>
      </c>
      <c r="D102" s="15" t="inlineStr">
        <is>
          <t>Swissquote</t>
        </is>
      </c>
      <c r="E102" s="15" t="n"/>
      <c r="F102" s="9">
        <f>IF(OR(IF(C102="","", IFERROR(INDEX('Tax Residency Eligibility'!$B$4:$G$9,MATCH(C102,'Tax Residency Eligibility'!$A$4:$A$9,0),MATCH($A102,'Tax Residency Eligibility'!$B$3:$G$3,0)),"?"))="N",IF(D102="","", IFERROR(INDEX('Tax Residency Eligibility'!$B$4:$G$9,MATCH(D102,'Tax Residency Eligibility'!$A$4:$A$9,0),MATCH($A102,'Tax Residency Eligibility'!$B$3:$G$3,0)),"?"))="N",IF(E102="","", IFERROR(INDEX('Tax Residency Eligibility'!$B$4:$G$9,MATCH(E102,'Tax Residency Eligibility'!$A$4:$A$9,0),MATCH($A102,'Tax Residency Eligibility'!$B$3:$G$3,0)),"?"))="N"),"No",IF(OR(IF(C102="","", IFERROR(INDEX('Tax Residency Eligibility'!$B$4:$G$9,MATCH(C102,'Tax Residency Eligibility'!$A$4:$A$9,0),MATCH($A102,'Tax Residency Eligibility'!$B$3:$G$3,0)),"?"))="Check",IF(D102="","", IFERROR(INDEX('Tax Residency Eligibility'!$B$4:$G$9,MATCH(D102,'Tax Residency Eligibility'!$A$4:$A$9,0),MATCH($A102,'Tax Residency Eligibility'!$B$3:$G$3,0)),"?"))="Check",IF(E102="","", IFERROR(INDEX('Tax Residency Eligibility'!$B$4:$G$9,MATCH(E102,'Tax Residency Eligibility'!$A$4:$A$9,0),MATCH($A102,'Tax Residency Eligibility'!$B$3:$G$3,0)),"?"))="Check"),"Check directly","Yes"))</f>
        <v/>
      </c>
      <c r="G102" s="16">
        <f>IFERROR(VLOOKUP(C102,'Broker Fees'!$A$4:$G$9,7,0),0)+IF(D102="",0,IFERROR(VLOOKUP(D102,'Broker Fees'!$A$4:$G$9,7,0),0))+IF(E102="",0,IFERROR(VLOOKUP(E102,'Broker Fees'!$A$4:$G$9,7,0),0))</f>
        <v/>
      </c>
      <c r="H10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2" s="18">
        <f>VLOOKUP($A102,'Capital Gains Tax'!$A$4:$D$9,2,0)</f>
        <v/>
      </c>
      <c r="J102" s="18">
        <f>VLOOKUP($A102,'Capital Gains Tax'!$A$4:$D$9,3,0)</f>
        <v/>
      </c>
    </row>
    <row r="103" ht="15" customHeight="1">
      <c r="A103" s="9" t="inlineStr">
        <is>
          <t>EU</t>
        </is>
      </c>
      <c r="B103" s="9" t="inlineStr">
        <is>
          <t>Wio+XTB</t>
        </is>
      </c>
      <c r="C103" s="15" t="inlineStr">
        <is>
          <t>Wio</t>
        </is>
      </c>
      <c r="D103" s="15" t="inlineStr">
        <is>
          <t>XTB</t>
        </is>
      </c>
      <c r="E103" s="15" t="n"/>
      <c r="F103" s="9">
        <f>IF(OR(IF(C103="","", IFERROR(INDEX('Tax Residency Eligibility'!$B$4:$G$9,MATCH(C103,'Tax Residency Eligibility'!$A$4:$A$9,0),MATCH($A103,'Tax Residency Eligibility'!$B$3:$G$3,0)),"?"))="N",IF(D103="","", IFERROR(INDEX('Tax Residency Eligibility'!$B$4:$G$9,MATCH(D103,'Tax Residency Eligibility'!$A$4:$A$9,0),MATCH($A103,'Tax Residency Eligibility'!$B$3:$G$3,0)),"?"))="N",IF(E103="","", IFERROR(INDEX('Tax Residency Eligibility'!$B$4:$G$9,MATCH(E103,'Tax Residency Eligibility'!$A$4:$A$9,0),MATCH($A103,'Tax Residency Eligibility'!$B$3:$G$3,0)),"?"))="N"),"No",IF(OR(IF(C103="","", IFERROR(INDEX('Tax Residency Eligibility'!$B$4:$G$9,MATCH(C103,'Tax Residency Eligibility'!$A$4:$A$9,0),MATCH($A103,'Tax Residency Eligibility'!$B$3:$G$3,0)),"?"))="Check",IF(D103="","", IFERROR(INDEX('Tax Residency Eligibility'!$B$4:$G$9,MATCH(D103,'Tax Residency Eligibility'!$A$4:$A$9,0),MATCH($A103,'Tax Residency Eligibility'!$B$3:$G$3,0)),"?"))="Check",IF(E103="","", IFERROR(INDEX('Tax Residency Eligibility'!$B$4:$G$9,MATCH(E103,'Tax Residency Eligibility'!$A$4:$A$9,0),MATCH($A103,'Tax Residency Eligibility'!$B$3:$G$3,0)),"?"))="Check"),"Check directly","Yes"))</f>
        <v/>
      </c>
      <c r="G103" s="16">
        <f>IFERROR(VLOOKUP(C103,'Broker Fees'!$A$4:$G$9,7,0),0)+IF(D103="",0,IFERROR(VLOOKUP(D103,'Broker Fees'!$A$4:$G$9,7,0),0))+IF(E103="",0,IFERROR(VLOOKUP(E103,'Broker Fees'!$A$4:$G$9,7,0),0))</f>
        <v/>
      </c>
      <c r="H10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3" s="18">
        <f>VLOOKUP($A103,'Capital Gains Tax'!$A$4:$D$9,2,0)</f>
        <v/>
      </c>
      <c r="J103" s="18">
        <f>VLOOKUP($A103,'Capital Gains Tax'!$A$4:$D$9,3,0)</f>
        <v/>
      </c>
    </row>
    <row r="104" ht="15" customHeight="1">
      <c r="A104" s="9" t="inlineStr">
        <is>
          <t>EU</t>
        </is>
      </c>
      <c r="B104" s="9" t="inlineStr">
        <is>
          <t>Exante+Swissquote</t>
        </is>
      </c>
      <c r="C104" s="15" t="inlineStr">
        <is>
          <t>Exante</t>
        </is>
      </c>
      <c r="D104" s="15" t="inlineStr">
        <is>
          <t>Swissquote</t>
        </is>
      </c>
      <c r="E104" s="15" t="n"/>
      <c r="F104" s="9">
        <f>IF(OR(IF(C104="","", IFERROR(INDEX('Tax Residency Eligibility'!$B$4:$G$9,MATCH(C104,'Tax Residency Eligibility'!$A$4:$A$9,0),MATCH($A104,'Tax Residency Eligibility'!$B$3:$G$3,0)),"?"))="N",IF(D104="","", IFERROR(INDEX('Tax Residency Eligibility'!$B$4:$G$9,MATCH(D104,'Tax Residency Eligibility'!$A$4:$A$9,0),MATCH($A104,'Tax Residency Eligibility'!$B$3:$G$3,0)),"?"))="N",IF(E104="","", IFERROR(INDEX('Tax Residency Eligibility'!$B$4:$G$9,MATCH(E104,'Tax Residency Eligibility'!$A$4:$A$9,0),MATCH($A104,'Tax Residency Eligibility'!$B$3:$G$3,0)),"?"))="N"),"No",IF(OR(IF(C104="","", IFERROR(INDEX('Tax Residency Eligibility'!$B$4:$G$9,MATCH(C104,'Tax Residency Eligibility'!$A$4:$A$9,0),MATCH($A104,'Tax Residency Eligibility'!$B$3:$G$3,0)),"?"))="Check",IF(D104="","", IFERROR(INDEX('Tax Residency Eligibility'!$B$4:$G$9,MATCH(D104,'Tax Residency Eligibility'!$A$4:$A$9,0),MATCH($A104,'Tax Residency Eligibility'!$B$3:$G$3,0)),"?"))="Check",IF(E104="","", IFERROR(INDEX('Tax Residency Eligibility'!$B$4:$G$9,MATCH(E104,'Tax Residency Eligibility'!$A$4:$A$9,0),MATCH($A104,'Tax Residency Eligibility'!$B$3:$G$3,0)),"?"))="Check"),"Check directly","Yes"))</f>
        <v/>
      </c>
      <c r="G104" s="16">
        <f>IFERROR(VLOOKUP(C104,'Broker Fees'!$A$4:$G$9,7,0),0)+IF(D104="",0,IFERROR(VLOOKUP(D104,'Broker Fees'!$A$4:$G$9,7,0),0))+IF(E104="",0,IFERROR(VLOOKUP(E104,'Broker Fees'!$A$4:$G$9,7,0),0))</f>
        <v/>
      </c>
      <c r="H10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4" s="18">
        <f>VLOOKUP($A104,'Capital Gains Tax'!$A$4:$D$9,2,0)</f>
        <v/>
      </c>
      <c r="J104" s="18">
        <f>VLOOKUP($A104,'Capital Gains Tax'!$A$4:$D$9,3,0)</f>
        <v/>
      </c>
    </row>
    <row r="105" ht="15" customHeight="1">
      <c r="A105" s="9" t="inlineStr">
        <is>
          <t>EU</t>
        </is>
      </c>
      <c r="B105" s="9" t="inlineStr">
        <is>
          <t>Exante+XTB</t>
        </is>
      </c>
      <c r="C105" s="15" t="inlineStr">
        <is>
          <t>Exante</t>
        </is>
      </c>
      <c r="D105" s="15" t="inlineStr">
        <is>
          <t>XTB</t>
        </is>
      </c>
      <c r="E105" s="15" t="n"/>
      <c r="F105" s="9">
        <f>IF(OR(IF(C105="","", IFERROR(INDEX('Tax Residency Eligibility'!$B$4:$G$9,MATCH(C105,'Tax Residency Eligibility'!$A$4:$A$9,0),MATCH($A105,'Tax Residency Eligibility'!$B$3:$G$3,0)),"?"))="N",IF(D105="","", IFERROR(INDEX('Tax Residency Eligibility'!$B$4:$G$9,MATCH(D105,'Tax Residency Eligibility'!$A$4:$A$9,0),MATCH($A105,'Tax Residency Eligibility'!$B$3:$G$3,0)),"?"))="N",IF(E105="","", IFERROR(INDEX('Tax Residency Eligibility'!$B$4:$G$9,MATCH(E105,'Tax Residency Eligibility'!$A$4:$A$9,0),MATCH($A105,'Tax Residency Eligibility'!$B$3:$G$3,0)),"?"))="N"),"No",IF(OR(IF(C105="","", IFERROR(INDEX('Tax Residency Eligibility'!$B$4:$G$9,MATCH(C105,'Tax Residency Eligibility'!$A$4:$A$9,0),MATCH($A105,'Tax Residency Eligibility'!$B$3:$G$3,0)),"?"))="Check",IF(D105="","", IFERROR(INDEX('Tax Residency Eligibility'!$B$4:$G$9,MATCH(D105,'Tax Residency Eligibility'!$A$4:$A$9,0),MATCH($A105,'Tax Residency Eligibility'!$B$3:$G$3,0)),"?"))="Check",IF(E105="","", IFERROR(INDEX('Tax Residency Eligibility'!$B$4:$G$9,MATCH(E105,'Tax Residency Eligibility'!$A$4:$A$9,0),MATCH($A105,'Tax Residency Eligibility'!$B$3:$G$3,0)),"?"))="Check"),"Check directly","Yes"))</f>
        <v/>
      </c>
      <c r="G105" s="16">
        <f>IFERROR(VLOOKUP(C105,'Broker Fees'!$A$4:$G$9,7,0),0)+IF(D105="",0,IFERROR(VLOOKUP(D105,'Broker Fees'!$A$4:$G$9,7,0),0))+IF(E105="",0,IFERROR(VLOOKUP(E105,'Broker Fees'!$A$4:$G$9,7,0),0))</f>
        <v/>
      </c>
      <c r="H10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5" s="18">
        <f>VLOOKUP($A105,'Capital Gains Tax'!$A$4:$D$9,2,0)</f>
        <v/>
      </c>
      <c r="J105" s="18">
        <f>VLOOKUP($A105,'Capital Gains Tax'!$A$4:$D$9,3,0)</f>
        <v/>
      </c>
    </row>
    <row r="106" ht="15" customHeight="1">
      <c r="A106" s="9" t="inlineStr">
        <is>
          <t>EU</t>
        </is>
      </c>
      <c r="B106" s="9" t="inlineStr">
        <is>
          <t>Swissquote+XTB</t>
        </is>
      </c>
      <c r="C106" s="15" t="inlineStr">
        <is>
          <t>Swissquote</t>
        </is>
      </c>
      <c r="D106" s="15" t="inlineStr">
        <is>
          <t>XTB</t>
        </is>
      </c>
      <c r="E106" s="15" t="n"/>
      <c r="F106" s="9">
        <f>IF(OR(IF(C106="","", IFERROR(INDEX('Tax Residency Eligibility'!$B$4:$G$9,MATCH(C106,'Tax Residency Eligibility'!$A$4:$A$9,0),MATCH($A106,'Tax Residency Eligibility'!$B$3:$G$3,0)),"?"))="N",IF(D106="","", IFERROR(INDEX('Tax Residency Eligibility'!$B$4:$G$9,MATCH(D106,'Tax Residency Eligibility'!$A$4:$A$9,0),MATCH($A106,'Tax Residency Eligibility'!$B$3:$G$3,0)),"?"))="N",IF(E106="","", IFERROR(INDEX('Tax Residency Eligibility'!$B$4:$G$9,MATCH(E106,'Tax Residency Eligibility'!$A$4:$A$9,0),MATCH($A106,'Tax Residency Eligibility'!$B$3:$G$3,0)),"?"))="N"),"No",IF(OR(IF(C106="","", IFERROR(INDEX('Tax Residency Eligibility'!$B$4:$G$9,MATCH(C106,'Tax Residency Eligibility'!$A$4:$A$9,0),MATCH($A106,'Tax Residency Eligibility'!$B$3:$G$3,0)),"?"))="Check",IF(D106="","", IFERROR(INDEX('Tax Residency Eligibility'!$B$4:$G$9,MATCH(D106,'Tax Residency Eligibility'!$A$4:$A$9,0),MATCH($A106,'Tax Residency Eligibility'!$B$3:$G$3,0)),"?"))="Check",IF(E106="","", IFERROR(INDEX('Tax Residency Eligibility'!$B$4:$G$9,MATCH(E106,'Tax Residency Eligibility'!$A$4:$A$9,0),MATCH($A106,'Tax Residency Eligibility'!$B$3:$G$3,0)),"?"))="Check"),"Check directly","Yes"))</f>
        <v/>
      </c>
      <c r="G106" s="16">
        <f>IFERROR(VLOOKUP(C106,'Broker Fees'!$A$4:$G$9,7,0),0)+IF(D106="",0,IFERROR(VLOOKUP(D106,'Broker Fees'!$A$4:$G$9,7,0),0))+IF(E106="",0,IFERROR(VLOOKUP(E106,'Broker Fees'!$A$4:$G$9,7,0),0))</f>
        <v/>
      </c>
      <c r="H10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6" s="18">
        <f>VLOOKUP($A106,'Capital Gains Tax'!$A$4:$D$9,2,0)</f>
        <v/>
      </c>
      <c r="J106" s="18">
        <f>VLOOKUP($A106,'Capital Gains Tax'!$A$4:$D$9,3,0)</f>
        <v/>
      </c>
    </row>
    <row r="107" ht="15" customHeight="1">
      <c r="A107" s="9" t="inlineStr">
        <is>
          <t>EU</t>
        </is>
      </c>
      <c r="B107" s="9" t="inlineStr">
        <is>
          <t>IBKR+Saxo+Wio</t>
        </is>
      </c>
      <c r="C107" s="15" t="inlineStr">
        <is>
          <t>IBKR</t>
        </is>
      </c>
      <c r="D107" s="15" t="inlineStr">
        <is>
          <t>Saxo</t>
        </is>
      </c>
      <c r="E107" s="15" t="inlineStr">
        <is>
          <t>Wio</t>
        </is>
      </c>
      <c r="F107" s="9">
        <f>IF(OR(IF(C107="","", IFERROR(INDEX('Tax Residency Eligibility'!$B$4:$G$9,MATCH(C107,'Tax Residency Eligibility'!$A$4:$A$9,0),MATCH($A107,'Tax Residency Eligibility'!$B$3:$G$3,0)),"?"))="N",IF(D107="","", IFERROR(INDEX('Tax Residency Eligibility'!$B$4:$G$9,MATCH(D107,'Tax Residency Eligibility'!$A$4:$A$9,0),MATCH($A107,'Tax Residency Eligibility'!$B$3:$G$3,0)),"?"))="N",IF(E107="","", IFERROR(INDEX('Tax Residency Eligibility'!$B$4:$G$9,MATCH(E107,'Tax Residency Eligibility'!$A$4:$A$9,0),MATCH($A107,'Tax Residency Eligibility'!$B$3:$G$3,0)),"?"))="N"),"No",IF(OR(IF(C107="","", IFERROR(INDEX('Tax Residency Eligibility'!$B$4:$G$9,MATCH(C107,'Tax Residency Eligibility'!$A$4:$A$9,0),MATCH($A107,'Tax Residency Eligibility'!$B$3:$G$3,0)),"?"))="Check",IF(D107="","", IFERROR(INDEX('Tax Residency Eligibility'!$B$4:$G$9,MATCH(D107,'Tax Residency Eligibility'!$A$4:$A$9,0),MATCH($A107,'Tax Residency Eligibility'!$B$3:$G$3,0)),"?"))="Check",IF(E107="","", IFERROR(INDEX('Tax Residency Eligibility'!$B$4:$G$9,MATCH(E107,'Tax Residency Eligibility'!$A$4:$A$9,0),MATCH($A107,'Tax Residency Eligibility'!$B$3:$G$3,0)),"?"))="Check"),"Check directly","Yes"))</f>
        <v/>
      </c>
      <c r="G107" s="16">
        <f>IFERROR(VLOOKUP(C107,'Broker Fees'!$A$4:$G$9,7,0),0)+IF(D107="",0,IFERROR(VLOOKUP(D107,'Broker Fees'!$A$4:$G$9,7,0),0))+IF(E107="",0,IFERROR(VLOOKUP(E107,'Broker Fees'!$A$4:$G$9,7,0),0))</f>
        <v/>
      </c>
      <c r="H10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7" s="18">
        <f>VLOOKUP($A107,'Capital Gains Tax'!$A$4:$D$9,2,0)</f>
        <v/>
      </c>
      <c r="J107" s="18">
        <f>VLOOKUP($A107,'Capital Gains Tax'!$A$4:$D$9,3,0)</f>
        <v/>
      </c>
    </row>
    <row r="108" ht="15" customHeight="1">
      <c r="A108" s="9" t="inlineStr">
        <is>
          <t>EU</t>
        </is>
      </c>
      <c r="B108" s="9" t="inlineStr">
        <is>
          <t>IBKR+Saxo+Exante</t>
        </is>
      </c>
      <c r="C108" s="15" t="inlineStr">
        <is>
          <t>IBKR</t>
        </is>
      </c>
      <c r="D108" s="15" t="inlineStr">
        <is>
          <t>Saxo</t>
        </is>
      </c>
      <c r="E108" s="15" t="inlineStr">
        <is>
          <t>Exante</t>
        </is>
      </c>
      <c r="F108" s="9">
        <f>IF(OR(IF(C108="","", IFERROR(INDEX('Tax Residency Eligibility'!$B$4:$G$9,MATCH(C108,'Tax Residency Eligibility'!$A$4:$A$9,0),MATCH($A108,'Tax Residency Eligibility'!$B$3:$G$3,0)),"?"))="N",IF(D108="","", IFERROR(INDEX('Tax Residency Eligibility'!$B$4:$G$9,MATCH(D108,'Tax Residency Eligibility'!$A$4:$A$9,0),MATCH($A108,'Tax Residency Eligibility'!$B$3:$G$3,0)),"?"))="N",IF(E108="","", IFERROR(INDEX('Tax Residency Eligibility'!$B$4:$G$9,MATCH(E108,'Tax Residency Eligibility'!$A$4:$A$9,0),MATCH($A108,'Tax Residency Eligibility'!$B$3:$G$3,0)),"?"))="N"),"No",IF(OR(IF(C108="","", IFERROR(INDEX('Tax Residency Eligibility'!$B$4:$G$9,MATCH(C108,'Tax Residency Eligibility'!$A$4:$A$9,0),MATCH($A108,'Tax Residency Eligibility'!$B$3:$G$3,0)),"?"))="Check",IF(D108="","", IFERROR(INDEX('Tax Residency Eligibility'!$B$4:$G$9,MATCH(D108,'Tax Residency Eligibility'!$A$4:$A$9,0),MATCH($A108,'Tax Residency Eligibility'!$B$3:$G$3,0)),"?"))="Check",IF(E108="","", IFERROR(INDEX('Tax Residency Eligibility'!$B$4:$G$9,MATCH(E108,'Tax Residency Eligibility'!$A$4:$A$9,0),MATCH($A108,'Tax Residency Eligibility'!$B$3:$G$3,0)),"?"))="Check"),"Check directly","Yes"))</f>
        <v/>
      </c>
      <c r="G108" s="16">
        <f>IFERROR(VLOOKUP(C108,'Broker Fees'!$A$4:$G$9,7,0),0)+IF(D108="",0,IFERROR(VLOOKUP(D108,'Broker Fees'!$A$4:$G$9,7,0),0))+IF(E108="",0,IFERROR(VLOOKUP(E108,'Broker Fees'!$A$4:$G$9,7,0),0))</f>
        <v/>
      </c>
      <c r="H10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8" s="18">
        <f>VLOOKUP($A108,'Capital Gains Tax'!$A$4:$D$9,2,0)</f>
        <v/>
      </c>
      <c r="J108" s="18">
        <f>VLOOKUP($A108,'Capital Gains Tax'!$A$4:$D$9,3,0)</f>
        <v/>
      </c>
    </row>
    <row r="109" ht="15" customHeight="1">
      <c r="A109" s="9" t="inlineStr">
        <is>
          <t>EU</t>
        </is>
      </c>
      <c r="B109" s="9" t="inlineStr">
        <is>
          <t>IBKR+Saxo+Swissquote</t>
        </is>
      </c>
      <c r="C109" s="15" t="inlineStr">
        <is>
          <t>IBKR</t>
        </is>
      </c>
      <c r="D109" s="15" t="inlineStr">
        <is>
          <t>Saxo</t>
        </is>
      </c>
      <c r="E109" s="15" t="inlineStr">
        <is>
          <t>Swissquote</t>
        </is>
      </c>
      <c r="F109" s="9">
        <f>IF(OR(IF(C109="","", IFERROR(INDEX('Tax Residency Eligibility'!$B$4:$G$9,MATCH(C109,'Tax Residency Eligibility'!$A$4:$A$9,0),MATCH($A109,'Tax Residency Eligibility'!$B$3:$G$3,0)),"?"))="N",IF(D109="","", IFERROR(INDEX('Tax Residency Eligibility'!$B$4:$G$9,MATCH(D109,'Tax Residency Eligibility'!$A$4:$A$9,0),MATCH($A109,'Tax Residency Eligibility'!$B$3:$G$3,0)),"?"))="N",IF(E109="","", IFERROR(INDEX('Tax Residency Eligibility'!$B$4:$G$9,MATCH(E109,'Tax Residency Eligibility'!$A$4:$A$9,0),MATCH($A109,'Tax Residency Eligibility'!$B$3:$G$3,0)),"?"))="N"),"No",IF(OR(IF(C109="","", IFERROR(INDEX('Tax Residency Eligibility'!$B$4:$G$9,MATCH(C109,'Tax Residency Eligibility'!$A$4:$A$9,0),MATCH($A109,'Tax Residency Eligibility'!$B$3:$G$3,0)),"?"))="Check",IF(D109="","", IFERROR(INDEX('Tax Residency Eligibility'!$B$4:$G$9,MATCH(D109,'Tax Residency Eligibility'!$A$4:$A$9,0),MATCH($A109,'Tax Residency Eligibility'!$B$3:$G$3,0)),"?"))="Check",IF(E109="","", IFERROR(INDEX('Tax Residency Eligibility'!$B$4:$G$9,MATCH(E109,'Tax Residency Eligibility'!$A$4:$A$9,0),MATCH($A109,'Tax Residency Eligibility'!$B$3:$G$3,0)),"?"))="Check"),"Check directly","Yes"))</f>
        <v/>
      </c>
      <c r="G109" s="16">
        <f>IFERROR(VLOOKUP(C109,'Broker Fees'!$A$4:$G$9,7,0),0)+IF(D109="",0,IFERROR(VLOOKUP(D109,'Broker Fees'!$A$4:$G$9,7,0),0))+IF(E109="",0,IFERROR(VLOOKUP(E109,'Broker Fees'!$A$4:$G$9,7,0),0))</f>
        <v/>
      </c>
      <c r="H10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09" s="18">
        <f>VLOOKUP($A109,'Capital Gains Tax'!$A$4:$D$9,2,0)</f>
        <v/>
      </c>
      <c r="J109" s="18">
        <f>VLOOKUP($A109,'Capital Gains Tax'!$A$4:$D$9,3,0)</f>
        <v/>
      </c>
    </row>
    <row r="110" ht="15" customHeight="1">
      <c r="A110" s="9" t="inlineStr">
        <is>
          <t>EU</t>
        </is>
      </c>
      <c r="B110" s="9" t="inlineStr">
        <is>
          <t>IBKR+Saxo+XTB</t>
        </is>
      </c>
      <c r="C110" s="15" t="inlineStr">
        <is>
          <t>IBKR</t>
        </is>
      </c>
      <c r="D110" s="15" t="inlineStr">
        <is>
          <t>Saxo</t>
        </is>
      </c>
      <c r="E110" s="15" t="inlineStr">
        <is>
          <t>XTB</t>
        </is>
      </c>
      <c r="F110" s="9">
        <f>IF(OR(IF(C110="","", IFERROR(INDEX('Tax Residency Eligibility'!$B$4:$G$9,MATCH(C110,'Tax Residency Eligibility'!$A$4:$A$9,0),MATCH($A110,'Tax Residency Eligibility'!$B$3:$G$3,0)),"?"))="N",IF(D110="","", IFERROR(INDEX('Tax Residency Eligibility'!$B$4:$G$9,MATCH(D110,'Tax Residency Eligibility'!$A$4:$A$9,0),MATCH($A110,'Tax Residency Eligibility'!$B$3:$G$3,0)),"?"))="N",IF(E110="","", IFERROR(INDEX('Tax Residency Eligibility'!$B$4:$G$9,MATCH(E110,'Tax Residency Eligibility'!$A$4:$A$9,0),MATCH($A110,'Tax Residency Eligibility'!$B$3:$G$3,0)),"?"))="N"),"No",IF(OR(IF(C110="","", IFERROR(INDEX('Tax Residency Eligibility'!$B$4:$G$9,MATCH(C110,'Tax Residency Eligibility'!$A$4:$A$9,0),MATCH($A110,'Tax Residency Eligibility'!$B$3:$G$3,0)),"?"))="Check",IF(D110="","", IFERROR(INDEX('Tax Residency Eligibility'!$B$4:$G$9,MATCH(D110,'Tax Residency Eligibility'!$A$4:$A$9,0),MATCH($A110,'Tax Residency Eligibility'!$B$3:$G$3,0)),"?"))="Check",IF(E110="","", IFERROR(INDEX('Tax Residency Eligibility'!$B$4:$G$9,MATCH(E110,'Tax Residency Eligibility'!$A$4:$A$9,0),MATCH($A110,'Tax Residency Eligibility'!$B$3:$G$3,0)),"?"))="Check"),"Check directly","Yes"))</f>
        <v/>
      </c>
      <c r="G110" s="16">
        <f>IFERROR(VLOOKUP(C110,'Broker Fees'!$A$4:$G$9,7,0),0)+IF(D110="",0,IFERROR(VLOOKUP(D110,'Broker Fees'!$A$4:$G$9,7,0),0))+IF(E110="",0,IFERROR(VLOOKUP(E110,'Broker Fees'!$A$4:$G$9,7,0),0))</f>
        <v/>
      </c>
      <c r="H11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0" s="18">
        <f>VLOOKUP($A110,'Capital Gains Tax'!$A$4:$D$9,2,0)</f>
        <v/>
      </c>
      <c r="J110" s="18">
        <f>VLOOKUP($A110,'Capital Gains Tax'!$A$4:$D$9,3,0)</f>
        <v/>
      </c>
    </row>
    <row r="111" ht="15" customHeight="1">
      <c r="A111" s="9" t="inlineStr">
        <is>
          <t>EU</t>
        </is>
      </c>
      <c r="B111" s="9" t="inlineStr">
        <is>
          <t>IBKR+Wio+Exante</t>
        </is>
      </c>
      <c r="C111" s="15" t="inlineStr">
        <is>
          <t>IBKR</t>
        </is>
      </c>
      <c r="D111" s="15" t="inlineStr">
        <is>
          <t>Wio</t>
        </is>
      </c>
      <c r="E111" s="15" t="inlineStr">
        <is>
          <t>Exante</t>
        </is>
      </c>
      <c r="F111" s="9">
        <f>IF(OR(IF(C111="","", IFERROR(INDEX('Tax Residency Eligibility'!$B$4:$G$9,MATCH(C111,'Tax Residency Eligibility'!$A$4:$A$9,0),MATCH($A111,'Tax Residency Eligibility'!$B$3:$G$3,0)),"?"))="N",IF(D111="","", IFERROR(INDEX('Tax Residency Eligibility'!$B$4:$G$9,MATCH(D111,'Tax Residency Eligibility'!$A$4:$A$9,0),MATCH($A111,'Tax Residency Eligibility'!$B$3:$G$3,0)),"?"))="N",IF(E111="","", IFERROR(INDEX('Tax Residency Eligibility'!$B$4:$G$9,MATCH(E111,'Tax Residency Eligibility'!$A$4:$A$9,0),MATCH($A111,'Tax Residency Eligibility'!$B$3:$G$3,0)),"?"))="N"),"No",IF(OR(IF(C111="","", IFERROR(INDEX('Tax Residency Eligibility'!$B$4:$G$9,MATCH(C111,'Tax Residency Eligibility'!$A$4:$A$9,0),MATCH($A111,'Tax Residency Eligibility'!$B$3:$G$3,0)),"?"))="Check",IF(D111="","", IFERROR(INDEX('Tax Residency Eligibility'!$B$4:$G$9,MATCH(D111,'Tax Residency Eligibility'!$A$4:$A$9,0),MATCH($A111,'Tax Residency Eligibility'!$B$3:$G$3,0)),"?"))="Check",IF(E111="","", IFERROR(INDEX('Tax Residency Eligibility'!$B$4:$G$9,MATCH(E111,'Tax Residency Eligibility'!$A$4:$A$9,0),MATCH($A111,'Tax Residency Eligibility'!$B$3:$G$3,0)),"?"))="Check"),"Check directly","Yes"))</f>
        <v/>
      </c>
      <c r="G111" s="16">
        <f>IFERROR(VLOOKUP(C111,'Broker Fees'!$A$4:$G$9,7,0),0)+IF(D111="",0,IFERROR(VLOOKUP(D111,'Broker Fees'!$A$4:$G$9,7,0),0))+IF(E111="",0,IFERROR(VLOOKUP(E111,'Broker Fees'!$A$4:$G$9,7,0),0))</f>
        <v/>
      </c>
      <c r="H11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1" s="18">
        <f>VLOOKUP($A111,'Capital Gains Tax'!$A$4:$D$9,2,0)</f>
        <v/>
      </c>
      <c r="J111" s="18">
        <f>VLOOKUP($A111,'Capital Gains Tax'!$A$4:$D$9,3,0)</f>
        <v/>
      </c>
    </row>
    <row r="112" ht="15" customHeight="1">
      <c r="A112" s="9" t="inlineStr">
        <is>
          <t>EU</t>
        </is>
      </c>
      <c r="B112" s="9" t="inlineStr">
        <is>
          <t>IBKR+Wio+Swissquote</t>
        </is>
      </c>
      <c r="C112" s="15" t="inlineStr">
        <is>
          <t>IBKR</t>
        </is>
      </c>
      <c r="D112" s="15" t="inlineStr">
        <is>
          <t>Wio</t>
        </is>
      </c>
      <c r="E112" s="15" t="inlineStr">
        <is>
          <t>Swissquote</t>
        </is>
      </c>
      <c r="F112" s="9">
        <f>IF(OR(IF(C112="","", IFERROR(INDEX('Tax Residency Eligibility'!$B$4:$G$9,MATCH(C112,'Tax Residency Eligibility'!$A$4:$A$9,0),MATCH($A112,'Tax Residency Eligibility'!$B$3:$G$3,0)),"?"))="N",IF(D112="","", IFERROR(INDEX('Tax Residency Eligibility'!$B$4:$G$9,MATCH(D112,'Tax Residency Eligibility'!$A$4:$A$9,0),MATCH($A112,'Tax Residency Eligibility'!$B$3:$G$3,0)),"?"))="N",IF(E112="","", IFERROR(INDEX('Tax Residency Eligibility'!$B$4:$G$9,MATCH(E112,'Tax Residency Eligibility'!$A$4:$A$9,0),MATCH($A112,'Tax Residency Eligibility'!$B$3:$G$3,0)),"?"))="N"),"No",IF(OR(IF(C112="","", IFERROR(INDEX('Tax Residency Eligibility'!$B$4:$G$9,MATCH(C112,'Tax Residency Eligibility'!$A$4:$A$9,0),MATCH($A112,'Tax Residency Eligibility'!$B$3:$G$3,0)),"?"))="Check",IF(D112="","", IFERROR(INDEX('Tax Residency Eligibility'!$B$4:$G$9,MATCH(D112,'Tax Residency Eligibility'!$A$4:$A$9,0),MATCH($A112,'Tax Residency Eligibility'!$B$3:$G$3,0)),"?"))="Check",IF(E112="","", IFERROR(INDEX('Tax Residency Eligibility'!$B$4:$G$9,MATCH(E112,'Tax Residency Eligibility'!$A$4:$A$9,0),MATCH($A112,'Tax Residency Eligibility'!$B$3:$G$3,0)),"?"))="Check"),"Check directly","Yes"))</f>
        <v/>
      </c>
      <c r="G112" s="16">
        <f>IFERROR(VLOOKUP(C112,'Broker Fees'!$A$4:$G$9,7,0),0)+IF(D112="",0,IFERROR(VLOOKUP(D112,'Broker Fees'!$A$4:$G$9,7,0),0))+IF(E112="",0,IFERROR(VLOOKUP(E112,'Broker Fees'!$A$4:$G$9,7,0),0))</f>
        <v/>
      </c>
      <c r="H11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2" s="18">
        <f>VLOOKUP($A112,'Capital Gains Tax'!$A$4:$D$9,2,0)</f>
        <v/>
      </c>
      <c r="J112" s="18">
        <f>VLOOKUP($A112,'Capital Gains Tax'!$A$4:$D$9,3,0)</f>
        <v/>
      </c>
    </row>
    <row r="113" ht="15" customHeight="1">
      <c r="A113" s="9" t="inlineStr">
        <is>
          <t>EU</t>
        </is>
      </c>
      <c r="B113" s="9" t="inlineStr">
        <is>
          <t>IBKR+Wio+XTB</t>
        </is>
      </c>
      <c r="C113" s="15" t="inlineStr">
        <is>
          <t>IBKR</t>
        </is>
      </c>
      <c r="D113" s="15" t="inlineStr">
        <is>
          <t>Wio</t>
        </is>
      </c>
      <c r="E113" s="15" t="inlineStr">
        <is>
          <t>XTB</t>
        </is>
      </c>
      <c r="F113" s="9">
        <f>IF(OR(IF(C113="","", IFERROR(INDEX('Tax Residency Eligibility'!$B$4:$G$9,MATCH(C113,'Tax Residency Eligibility'!$A$4:$A$9,0),MATCH($A113,'Tax Residency Eligibility'!$B$3:$G$3,0)),"?"))="N",IF(D113="","", IFERROR(INDEX('Tax Residency Eligibility'!$B$4:$G$9,MATCH(D113,'Tax Residency Eligibility'!$A$4:$A$9,0),MATCH($A113,'Tax Residency Eligibility'!$B$3:$G$3,0)),"?"))="N",IF(E113="","", IFERROR(INDEX('Tax Residency Eligibility'!$B$4:$G$9,MATCH(E113,'Tax Residency Eligibility'!$A$4:$A$9,0),MATCH($A113,'Tax Residency Eligibility'!$B$3:$G$3,0)),"?"))="N"),"No",IF(OR(IF(C113="","", IFERROR(INDEX('Tax Residency Eligibility'!$B$4:$G$9,MATCH(C113,'Tax Residency Eligibility'!$A$4:$A$9,0),MATCH($A113,'Tax Residency Eligibility'!$B$3:$G$3,0)),"?"))="Check",IF(D113="","", IFERROR(INDEX('Tax Residency Eligibility'!$B$4:$G$9,MATCH(D113,'Tax Residency Eligibility'!$A$4:$A$9,0),MATCH($A113,'Tax Residency Eligibility'!$B$3:$G$3,0)),"?"))="Check",IF(E113="","", IFERROR(INDEX('Tax Residency Eligibility'!$B$4:$G$9,MATCH(E113,'Tax Residency Eligibility'!$A$4:$A$9,0),MATCH($A113,'Tax Residency Eligibility'!$B$3:$G$3,0)),"?"))="Check"),"Check directly","Yes"))</f>
        <v/>
      </c>
      <c r="G113" s="16">
        <f>IFERROR(VLOOKUP(C113,'Broker Fees'!$A$4:$G$9,7,0),0)+IF(D113="",0,IFERROR(VLOOKUP(D113,'Broker Fees'!$A$4:$G$9,7,0),0))+IF(E113="",0,IFERROR(VLOOKUP(E113,'Broker Fees'!$A$4:$G$9,7,0),0))</f>
        <v/>
      </c>
      <c r="H11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3" s="18">
        <f>VLOOKUP($A113,'Capital Gains Tax'!$A$4:$D$9,2,0)</f>
        <v/>
      </c>
      <c r="J113" s="18">
        <f>VLOOKUP($A113,'Capital Gains Tax'!$A$4:$D$9,3,0)</f>
        <v/>
      </c>
    </row>
    <row r="114" ht="15" customHeight="1">
      <c r="A114" s="9" t="inlineStr">
        <is>
          <t>EU</t>
        </is>
      </c>
      <c r="B114" s="9" t="inlineStr">
        <is>
          <t>IBKR+Exante+Swissquote</t>
        </is>
      </c>
      <c r="C114" s="15" t="inlineStr">
        <is>
          <t>IBKR</t>
        </is>
      </c>
      <c r="D114" s="15" t="inlineStr">
        <is>
          <t>Exante</t>
        </is>
      </c>
      <c r="E114" s="15" t="inlineStr">
        <is>
          <t>Swissquote</t>
        </is>
      </c>
      <c r="F114" s="9">
        <f>IF(OR(IF(C114="","", IFERROR(INDEX('Tax Residency Eligibility'!$B$4:$G$9,MATCH(C114,'Tax Residency Eligibility'!$A$4:$A$9,0),MATCH($A114,'Tax Residency Eligibility'!$B$3:$G$3,0)),"?"))="N",IF(D114="","", IFERROR(INDEX('Tax Residency Eligibility'!$B$4:$G$9,MATCH(D114,'Tax Residency Eligibility'!$A$4:$A$9,0),MATCH($A114,'Tax Residency Eligibility'!$B$3:$G$3,0)),"?"))="N",IF(E114="","", IFERROR(INDEX('Tax Residency Eligibility'!$B$4:$G$9,MATCH(E114,'Tax Residency Eligibility'!$A$4:$A$9,0),MATCH($A114,'Tax Residency Eligibility'!$B$3:$G$3,0)),"?"))="N"),"No",IF(OR(IF(C114="","", IFERROR(INDEX('Tax Residency Eligibility'!$B$4:$G$9,MATCH(C114,'Tax Residency Eligibility'!$A$4:$A$9,0),MATCH($A114,'Tax Residency Eligibility'!$B$3:$G$3,0)),"?"))="Check",IF(D114="","", IFERROR(INDEX('Tax Residency Eligibility'!$B$4:$G$9,MATCH(D114,'Tax Residency Eligibility'!$A$4:$A$9,0),MATCH($A114,'Tax Residency Eligibility'!$B$3:$G$3,0)),"?"))="Check",IF(E114="","", IFERROR(INDEX('Tax Residency Eligibility'!$B$4:$G$9,MATCH(E114,'Tax Residency Eligibility'!$A$4:$A$9,0),MATCH($A114,'Tax Residency Eligibility'!$B$3:$G$3,0)),"?"))="Check"),"Check directly","Yes"))</f>
        <v/>
      </c>
      <c r="G114" s="16">
        <f>IFERROR(VLOOKUP(C114,'Broker Fees'!$A$4:$G$9,7,0),0)+IF(D114="",0,IFERROR(VLOOKUP(D114,'Broker Fees'!$A$4:$G$9,7,0),0))+IF(E114="",0,IFERROR(VLOOKUP(E114,'Broker Fees'!$A$4:$G$9,7,0),0))</f>
        <v/>
      </c>
      <c r="H11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4" s="18">
        <f>VLOOKUP($A114,'Capital Gains Tax'!$A$4:$D$9,2,0)</f>
        <v/>
      </c>
      <c r="J114" s="18">
        <f>VLOOKUP($A114,'Capital Gains Tax'!$A$4:$D$9,3,0)</f>
        <v/>
      </c>
    </row>
    <row r="115" ht="15" customHeight="1">
      <c r="A115" s="9" t="inlineStr">
        <is>
          <t>EU</t>
        </is>
      </c>
      <c r="B115" s="9" t="inlineStr">
        <is>
          <t>IBKR+Exante+XTB</t>
        </is>
      </c>
      <c r="C115" s="15" t="inlineStr">
        <is>
          <t>IBKR</t>
        </is>
      </c>
      <c r="D115" s="15" t="inlineStr">
        <is>
          <t>Exante</t>
        </is>
      </c>
      <c r="E115" s="15" t="inlineStr">
        <is>
          <t>XTB</t>
        </is>
      </c>
      <c r="F115" s="9">
        <f>IF(OR(IF(C115="","", IFERROR(INDEX('Tax Residency Eligibility'!$B$4:$G$9,MATCH(C115,'Tax Residency Eligibility'!$A$4:$A$9,0),MATCH($A115,'Tax Residency Eligibility'!$B$3:$G$3,0)),"?"))="N",IF(D115="","", IFERROR(INDEX('Tax Residency Eligibility'!$B$4:$G$9,MATCH(D115,'Tax Residency Eligibility'!$A$4:$A$9,0),MATCH($A115,'Tax Residency Eligibility'!$B$3:$G$3,0)),"?"))="N",IF(E115="","", IFERROR(INDEX('Tax Residency Eligibility'!$B$4:$G$9,MATCH(E115,'Tax Residency Eligibility'!$A$4:$A$9,0),MATCH($A115,'Tax Residency Eligibility'!$B$3:$G$3,0)),"?"))="N"),"No",IF(OR(IF(C115="","", IFERROR(INDEX('Tax Residency Eligibility'!$B$4:$G$9,MATCH(C115,'Tax Residency Eligibility'!$A$4:$A$9,0),MATCH($A115,'Tax Residency Eligibility'!$B$3:$G$3,0)),"?"))="Check",IF(D115="","", IFERROR(INDEX('Tax Residency Eligibility'!$B$4:$G$9,MATCH(D115,'Tax Residency Eligibility'!$A$4:$A$9,0),MATCH($A115,'Tax Residency Eligibility'!$B$3:$G$3,0)),"?"))="Check",IF(E115="","", IFERROR(INDEX('Tax Residency Eligibility'!$B$4:$G$9,MATCH(E115,'Tax Residency Eligibility'!$A$4:$A$9,0),MATCH($A115,'Tax Residency Eligibility'!$B$3:$G$3,0)),"?"))="Check"),"Check directly","Yes"))</f>
        <v/>
      </c>
      <c r="G115" s="16">
        <f>IFERROR(VLOOKUP(C115,'Broker Fees'!$A$4:$G$9,7,0),0)+IF(D115="",0,IFERROR(VLOOKUP(D115,'Broker Fees'!$A$4:$G$9,7,0),0))+IF(E115="",0,IFERROR(VLOOKUP(E115,'Broker Fees'!$A$4:$G$9,7,0),0))</f>
        <v/>
      </c>
      <c r="H11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5" s="18">
        <f>VLOOKUP($A115,'Capital Gains Tax'!$A$4:$D$9,2,0)</f>
        <v/>
      </c>
      <c r="J115" s="18">
        <f>VLOOKUP($A115,'Capital Gains Tax'!$A$4:$D$9,3,0)</f>
        <v/>
      </c>
    </row>
    <row r="116" ht="15" customHeight="1">
      <c r="A116" s="9" t="inlineStr">
        <is>
          <t>EU</t>
        </is>
      </c>
      <c r="B116" s="9" t="inlineStr">
        <is>
          <t>IBKR+Swissquote+XTB</t>
        </is>
      </c>
      <c r="C116" s="15" t="inlineStr">
        <is>
          <t>IBKR</t>
        </is>
      </c>
      <c r="D116" s="15" t="inlineStr">
        <is>
          <t>Swissquote</t>
        </is>
      </c>
      <c r="E116" s="15" t="inlineStr">
        <is>
          <t>XTB</t>
        </is>
      </c>
      <c r="F116" s="9">
        <f>IF(OR(IF(C116="","", IFERROR(INDEX('Tax Residency Eligibility'!$B$4:$G$9,MATCH(C116,'Tax Residency Eligibility'!$A$4:$A$9,0),MATCH($A116,'Tax Residency Eligibility'!$B$3:$G$3,0)),"?"))="N",IF(D116="","", IFERROR(INDEX('Tax Residency Eligibility'!$B$4:$G$9,MATCH(D116,'Tax Residency Eligibility'!$A$4:$A$9,0),MATCH($A116,'Tax Residency Eligibility'!$B$3:$G$3,0)),"?"))="N",IF(E116="","", IFERROR(INDEX('Tax Residency Eligibility'!$B$4:$G$9,MATCH(E116,'Tax Residency Eligibility'!$A$4:$A$9,0),MATCH($A116,'Tax Residency Eligibility'!$B$3:$G$3,0)),"?"))="N"),"No",IF(OR(IF(C116="","", IFERROR(INDEX('Tax Residency Eligibility'!$B$4:$G$9,MATCH(C116,'Tax Residency Eligibility'!$A$4:$A$9,0),MATCH($A116,'Tax Residency Eligibility'!$B$3:$G$3,0)),"?"))="Check",IF(D116="","", IFERROR(INDEX('Tax Residency Eligibility'!$B$4:$G$9,MATCH(D116,'Tax Residency Eligibility'!$A$4:$A$9,0),MATCH($A116,'Tax Residency Eligibility'!$B$3:$G$3,0)),"?"))="Check",IF(E116="","", IFERROR(INDEX('Tax Residency Eligibility'!$B$4:$G$9,MATCH(E116,'Tax Residency Eligibility'!$A$4:$A$9,0),MATCH($A116,'Tax Residency Eligibility'!$B$3:$G$3,0)),"?"))="Check"),"Check directly","Yes"))</f>
        <v/>
      </c>
      <c r="G116" s="16">
        <f>IFERROR(VLOOKUP(C116,'Broker Fees'!$A$4:$G$9,7,0),0)+IF(D116="",0,IFERROR(VLOOKUP(D116,'Broker Fees'!$A$4:$G$9,7,0),0))+IF(E116="",0,IFERROR(VLOOKUP(E116,'Broker Fees'!$A$4:$G$9,7,0),0))</f>
        <v/>
      </c>
      <c r="H11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6" s="18">
        <f>VLOOKUP($A116,'Capital Gains Tax'!$A$4:$D$9,2,0)</f>
        <v/>
      </c>
      <c r="J116" s="18">
        <f>VLOOKUP($A116,'Capital Gains Tax'!$A$4:$D$9,3,0)</f>
        <v/>
      </c>
    </row>
    <row r="117" ht="15" customHeight="1">
      <c r="A117" s="9" t="inlineStr">
        <is>
          <t>EU</t>
        </is>
      </c>
      <c r="B117" s="9" t="inlineStr">
        <is>
          <t>Saxo+Wio+Exante</t>
        </is>
      </c>
      <c r="C117" s="15" t="inlineStr">
        <is>
          <t>Saxo</t>
        </is>
      </c>
      <c r="D117" s="15" t="inlineStr">
        <is>
          <t>Wio</t>
        </is>
      </c>
      <c r="E117" s="15" t="inlineStr">
        <is>
          <t>Exante</t>
        </is>
      </c>
      <c r="F117" s="9">
        <f>IF(OR(IF(C117="","", IFERROR(INDEX('Tax Residency Eligibility'!$B$4:$G$9,MATCH(C117,'Tax Residency Eligibility'!$A$4:$A$9,0),MATCH($A117,'Tax Residency Eligibility'!$B$3:$G$3,0)),"?"))="N",IF(D117="","", IFERROR(INDEX('Tax Residency Eligibility'!$B$4:$G$9,MATCH(D117,'Tax Residency Eligibility'!$A$4:$A$9,0),MATCH($A117,'Tax Residency Eligibility'!$B$3:$G$3,0)),"?"))="N",IF(E117="","", IFERROR(INDEX('Tax Residency Eligibility'!$B$4:$G$9,MATCH(E117,'Tax Residency Eligibility'!$A$4:$A$9,0),MATCH($A117,'Tax Residency Eligibility'!$B$3:$G$3,0)),"?"))="N"),"No",IF(OR(IF(C117="","", IFERROR(INDEX('Tax Residency Eligibility'!$B$4:$G$9,MATCH(C117,'Tax Residency Eligibility'!$A$4:$A$9,0),MATCH($A117,'Tax Residency Eligibility'!$B$3:$G$3,0)),"?"))="Check",IF(D117="","", IFERROR(INDEX('Tax Residency Eligibility'!$B$4:$G$9,MATCH(D117,'Tax Residency Eligibility'!$A$4:$A$9,0),MATCH($A117,'Tax Residency Eligibility'!$B$3:$G$3,0)),"?"))="Check",IF(E117="","", IFERROR(INDEX('Tax Residency Eligibility'!$B$4:$G$9,MATCH(E117,'Tax Residency Eligibility'!$A$4:$A$9,0),MATCH($A117,'Tax Residency Eligibility'!$B$3:$G$3,0)),"?"))="Check"),"Check directly","Yes"))</f>
        <v/>
      </c>
      <c r="G117" s="16">
        <f>IFERROR(VLOOKUP(C117,'Broker Fees'!$A$4:$G$9,7,0),0)+IF(D117="",0,IFERROR(VLOOKUP(D117,'Broker Fees'!$A$4:$G$9,7,0),0))+IF(E117="",0,IFERROR(VLOOKUP(E117,'Broker Fees'!$A$4:$G$9,7,0),0))</f>
        <v/>
      </c>
      <c r="H11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7" s="18">
        <f>VLOOKUP($A117,'Capital Gains Tax'!$A$4:$D$9,2,0)</f>
        <v/>
      </c>
      <c r="J117" s="18">
        <f>VLOOKUP($A117,'Capital Gains Tax'!$A$4:$D$9,3,0)</f>
        <v/>
      </c>
    </row>
    <row r="118" ht="15" customHeight="1">
      <c r="A118" s="9" t="inlineStr">
        <is>
          <t>EU</t>
        </is>
      </c>
      <c r="B118" s="9" t="inlineStr">
        <is>
          <t>Saxo+Wio+Swissquote</t>
        </is>
      </c>
      <c r="C118" s="15" t="inlineStr">
        <is>
          <t>Saxo</t>
        </is>
      </c>
      <c r="D118" s="15" t="inlineStr">
        <is>
          <t>Wio</t>
        </is>
      </c>
      <c r="E118" s="15" t="inlineStr">
        <is>
          <t>Swissquote</t>
        </is>
      </c>
      <c r="F118" s="9">
        <f>IF(OR(IF(C118="","", IFERROR(INDEX('Tax Residency Eligibility'!$B$4:$G$9,MATCH(C118,'Tax Residency Eligibility'!$A$4:$A$9,0),MATCH($A118,'Tax Residency Eligibility'!$B$3:$G$3,0)),"?"))="N",IF(D118="","", IFERROR(INDEX('Tax Residency Eligibility'!$B$4:$G$9,MATCH(D118,'Tax Residency Eligibility'!$A$4:$A$9,0),MATCH($A118,'Tax Residency Eligibility'!$B$3:$G$3,0)),"?"))="N",IF(E118="","", IFERROR(INDEX('Tax Residency Eligibility'!$B$4:$G$9,MATCH(E118,'Tax Residency Eligibility'!$A$4:$A$9,0),MATCH($A118,'Tax Residency Eligibility'!$B$3:$G$3,0)),"?"))="N"),"No",IF(OR(IF(C118="","", IFERROR(INDEX('Tax Residency Eligibility'!$B$4:$G$9,MATCH(C118,'Tax Residency Eligibility'!$A$4:$A$9,0),MATCH($A118,'Tax Residency Eligibility'!$B$3:$G$3,0)),"?"))="Check",IF(D118="","", IFERROR(INDEX('Tax Residency Eligibility'!$B$4:$G$9,MATCH(D118,'Tax Residency Eligibility'!$A$4:$A$9,0),MATCH($A118,'Tax Residency Eligibility'!$B$3:$G$3,0)),"?"))="Check",IF(E118="","", IFERROR(INDEX('Tax Residency Eligibility'!$B$4:$G$9,MATCH(E118,'Tax Residency Eligibility'!$A$4:$A$9,0),MATCH($A118,'Tax Residency Eligibility'!$B$3:$G$3,0)),"?"))="Check"),"Check directly","Yes"))</f>
        <v/>
      </c>
      <c r="G118" s="16">
        <f>IFERROR(VLOOKUP(C118,'Broker Fees'!$A$4:$G$9,7,0),0)+IF(D118="",0,IFERROR(VLOOKUP(D118,'Broker Fees'!$A$4:$G$9,7,0),0))+IF(E118="",0,IFERROR(VLOOKUP(E118,'Broker Fees'!$A$4:$G$9,7,0),0))</f>
        <v/>
      </c>
      <c r="H11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8" s="18">
        <f>VLOOKUP($A118,'Capital Gains Tax'!$A$4:$D$9,2,0)</f>
        <v/>
      </c>
      <c r="J118" s="18">
        <f>VLOOKUP($A118,'Capital Gains Tax'!$A$4:$D$9,3,0)</f>
        <v/>
      </c>
    </row>
    <row r="119" ht="15" customHeight="1">
      <c r="A119" s="9" t="inlineStr">
        <is>
          <t>EU</t>
        </is>
      </c>
      <c r="B119" s="9" t="inlineStr">
        <is>
          <t>Saxo+Wio+XTB</t>
        </is>
      </c>
      <c r="C119" s="15" t="inlineStr">
        <is>
          <t>Saxo</t>
        </is>
      </c>
      <c r="D119" s="15" t="inlineStr">
        <is>
          <t>Wio</t>
        </is>
      </c>
      <c r="E119" s="15" t="inlineStr">
        <is>
          <t>XTB</t>
        </is>
      </c>
      <c r="F119" s="9">
        <f>IF(OR(IF(C119="","", IFERROR(INDEX('Tax Residency Eligibility'!$B$4:$G$9,MATCH(C119,'Tax Residency Eligibility'!$A$4:$A$9,0),MATCH($A119,'Tax Residency Eligibility'!$B$3:$G$3,0)),"?"))="N",IF(D119="","", IFERROR(INDEX('Tax Residency Eligibility'!$B$4:$G$9,MATCH(D119,'Tax Residency Eligibility'!$A$4:$A$9,0),MATCH($A119,'Tax Residency Eligibility'!$B$3:$G$3,0)),"?"))="N",IF(E119="","", IFERROR(INDEX('Tax Residency Eligibility'!$B$4:$G$9,MATCH(E119,'Tax Residency Eligibility'!$A$4:$A$9,0),MATCH($A119,'Tax Residency Eligibility'!$B$3:$G$3,0)),"?"))="N"),"No",IF(OR(IF(C119="","", IFERROR(INDEX('Tax Residency Eligibility'!$B$4:$G$9,MATCH(C119,'Tax Residency Eligibility'!$A$4:$A$9,0),MATCH($A119,'Tax Residency Eligibility'!$B$3:$G$3,0)),"?"))="Check",IF(D119="","", IFERROR(INDEX('Tax Residency Eligibility'!$B$4:$G$9,MATCH(D119,'Tax Residency Eligibility'!$A$4:$A$9,0),MATCH($A119,'Tax Residency Eligibility'!$B$3:$G$3,0)),"?"))="Check",IF(E119="","", IFERROR(INDEX('Tax Residency Eligibility'!$B$4:$G$9,MATCH(E119,'Tax Residency Eligibility'!$A$4:$A$9,0),MATCH($A119,'Tax Residency Eligibility'!$B$3:$G$3,0)),"?"))="Check"),"Check directly","Yes"))</f>
        <v/>
      </c>
      <c r="G119" s="16">
        <f>IFERROR(VLOOKUP(C119,'Broker Fees'!$A$4:$G$9,7,0),0)+IF(D119="",0,IFERROR(VLOOKUP(D119,'Broker Fees'!$A$4:$G$9,7,0),0))+IF(E119="",0,IFERROR(VLOOKUP(E119,'Broker Fees'!$A$4:$G$9,7,0),0))</f>
        <v/>
      </c>
      <c r="H11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19" s="18">
        <f>VLOOKUP($A119,'Capital Gains Tax'!$A$4:$D$9,2,0)</f>
        <v/>
      </c>
      <c r="J119" s="18">
        <f>VLOOKUP($A119,'Capital Gains Tax'!$A$4:$D$9,3,0)</f>
        <v/>
      </c>
    </row>
    <row r="120" ht="15" customHeight="1">
      <c r="A120" s="9" t="inlineStr">
        <is>
          <t>EU</t>
        </is>
      </c>
      <c r="B120" s="9" t="inlineStr">
        <is>
          <t>Saxo+Exante+Swissquote</t>
        </is>
      </c>
      <c r="C120" s="15" t="inlineStr">
        <is>
          <t>Saxo</t>
        </is>
      </c>
      <c r="D120" s="15" t="inlineStr">
        <is>
          <t>Exante</t>
        </is>
      </c>
      <c r="E120" s="15" t="inlineStr">
        <is>
          <t>Swissquote</t>
        </is>
      </c>
      <c r="F120" s="9">
        <f>IF(OR(IF(C120="","", IFERROR(INDEX('Tax Residency Eligibility'!$B$4:$G$9,MATCH(C120,'Tax Residency Eligibility'!$A$4:$A$9,0),MATCH($A120,'Tax Residency Eligibility'!$B$3:$G$3,0)),"?"))="N",IF(D120="","", IFERROR(INDEX('Tax Residency Eligibility'!$B$4:$G$9,MATCH(D120,'Tax Residency Eligibility'!$A$4:$A$9,0),MATCH($A120,'Tax Residency Eligibility'!$B$3:$G$3,0)),"?"))="N",IF(E120="","", IFERROR(INDEX('Tax Residency Eligibility'!$B$4:$G$9,MATCH(E120,'Tax Residency Eligibility'!$A$4:$A$9,0),MATCH($A120,'Tax Residency Eligibility'!$B$3:$G$3,0)),"?"))="N"),"No",IF(OR(IF(C120="","", IFERROR(INDEX('Tax Residency Eligibility'!$B$4:$G$9,MATCH(C120,'Tax Residency Eligibility'!$A$4:$A$9,0),MATCH($A120,'Tax Residency Eligibility'!$B$3:$G$3,0)),"?"))="Check",IF(D120="","", IFERROR(INDEX('Tax Residency Eligibility'!$B$4:$G$9,MATCH(D120,'Tax Residency Eligibility'!$A$4:$A$9,0),MATCH($A120,'Tax Residency Eligibility'!$B$3:$G$3,0)),"?"))="Check",IF(E120="","", IFERROR(INDEX('Tax Residency Eligibility'!$B$4:$G$9,MATCH(E120,'Tax Residency Eligibility'!$A$4:$A$9,0),MATCH($A120,'Tax Residency Eligibility'!$B$3:$G$3,0)),"?"))="Check"),"Check directly","Yes"))</f>
        <v/>
      </c>
      <c r="G120" s="16">
        <f>IFERROR(VLOOKUP(C120,'Broker Fees'!$A$4:$G$9,7,0),0)+IF(D120="",0,IFERROR(VLOOKUP(D120,'Broker Fees'!$A$4:$G$9,7,0),0))+IF(E120="",0,IFERROR(VLOOKUP(E120,'Broker Fees'!$A$4:$G$9,7,0),0))</f>
        <v/>
      </c>
      <c r="H12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0" s="18">
        <f>VLOOKUP($A120,'Capital Gains Tax'!$A$4:$D$9,2,0)</f>
        <v/>
      </c>
      <c r="J120" s="18">
        <f>VLOOKUP($A120,'Capital Gains Tax'!$A$4:$D$9,3,0)</f>
        <v/>
      </c>
    </row>
    <row r="121" ht="15" customHeight="1">
      <c r="A121" s="9" t="inlineStr">
        <is>
          <t>EU</t>
        </is>
      </c>
      <c r="B121" s="9" t="inlineStr">
        <is>
          <t>Saxo+Exante+XTB</t>
        </is>
      </c>
      <c r="C121" s="15" t="inlineStr">
        <is>
          <t>Saxo</t>
        </is>
      </c>
      <c r="D121" s="15" t="inlineStr">
        <is>
          <t>Exante</t>
        </is>
      </c>
      <c r="E121" s="15" t="inlineStr">
        <is>
          <t>XTB</t>
        </is>
      </c>
      <c r="F121" s="9">
        <f>IF(OR(IF(C121="","", IFERROR(INDEX('Tax Residency Eligibility'!$B$4:$G$9,MATCH(C121,'Tax Residency Eligibility'!$A$4:$A$9,0),MATCH($A121,'Tax Residency Eligibility'!$B$3:$G$3,0)),"?"))="N",IF(D121="","", IFERROR(INDEX('Tax Residency Eligibility'!$B$4:$G$9,MATCH(D121,'Tax Residency Eligibility'!$A$4:$A$9,0),MATCH($A121,'Tax Residency Eligibility'!$B$3:$G$3,0)),"?"))="N",IF(E121="","", IFERROR(INDEX('Tax Residency Eligibility'!$B$4:$G$9,MATCH(E121,'Tax Residency Eligibility'!$A$4:$A$9,0),MATCH($A121,'Tax Residency Eligibility'!$B$3:$G$3,0)),"?"))="N"),"No",IF(OR(IF(C121="","", IFERROR(INDEX('Tax Residency Eligibility'!$B$4:$G$9,MATCH(C121,'Tax Residency Eligibility'!$A$4:$A$9,0),MATCH($A121,'Tax Residency Eligibility'!$B$3:$G$3,0)),"?"))="Check",IF(D121="","", IFERROR(INDEX('Tax Residency Eligibility'!$B$4:$G$9,MATCH(D121,'Tax Residency Eligibility'!$A$4:$A$9,0),MATCH($A121,'Tax Residency Eligibility'!$B$3:$G$3,0)),"?"))="Check",IF(E121="","", IFERROR(INDEX('Tax Residency Eligibility'!$B$4:$G$9,MATCH(E121,'Tax Residency Eligibility'!$A$4:$A$9,0),MATCH($A121,'Tax Residency Eligibility'!$B$3:$G$3,0)),"?"))="Check"),"Check directly","Yes"))</f>
        <v/>
      </c>
      <c r="G121" s="16">
        <f>IFERROR(VLOOKUP(C121,'Broker Fees'!$A$4:$G$9,7,0),0)+IF(D121="",0,IFERROR(VLOOKUP(D121,'Broker Fees'!$A$4:$G$9,7,0),0))+IF(E121="",0,IFERROR(VLOOKUP(E121,'Broker Fees'!$A$4:$G$9,7,0),0))</f>
        <v/>
      </c>
      <c r="H12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1" s="18">
        <f>VLOOKUP($A121,'Capital Gains Tax'!$A$4:$D$9,2,0)</f>
        <v/>
      </c>
      <c r="J121" s="18">
        <f>VLOOKUP($A121,'Capital Gains Tax'!$A$4:$D$9,3,0)</f>
        <v/>
      </c>
    </row>
    <row r="122" ht="15" customHeight="1">
      <c r="A122" s="9" t="inlineStr">
        <is>
          <t>EU</t>
        </is>
      </c>
      <c r="B122" s="9" t="inlineStr">
        <is>
          <t>Saxo+Swissquote+XTB</t>
        </is>
      </c>
      <c r="C122" s="15" t="inlineStr">
        <is>
          <t>Saxo</t>
        </is>
      </c>
      <c r="D122" s="15" t="inlineStr">
        <is>
          <t>Swissquote</t>
        </is>
      </c>
      <c r="E122" s="15" t="inlineStr">
        <is>
          <t>XTB</t>
        </is>
      </c>
      <c r="F122" s="9">
        <f>IF(OR(IF(C122="","", IFERROR(INDEX('Tax Residency Eligibility'!$B$4:$G$9,MATCH(C122,'Tax Residency Eligibility'!$A$4:$A$9,0),MATCH($A122,'Tax Residency Eligibility'!$B$3:$G$3,0)),"?"))="N",IF(D122="","", IFERROR(INDEX('Tax Residency Eligibility'!$B$4:$G$9,MATCH(D122,'Tax Residency Eligibility'!$A$4:$A$9,0),MATCH($A122,'Tax Residency Eligibility'!$B$3:$G$3,0)),"?"))="N",IF(E122="","", IFERROR(INDEX('Tax Residency Eligibility'!$B$4:$G$9,MATCH(E122,'Tax Residency Eligibility'!$A$4:$A$9,0),MATCH($A122,'Tax Residency Eligibility'!$B$3:$G$3,0)),"?"))="N"),"No",IF(OR(IF(C122="","", IFERROR(INDEX('Tax Residency Eligibility'!$B$4:$G$9,MATCH(C122,'Tax Residency Eligibility'!$A$4:$A$9,0),MATCH($A122,'Tax Residency Eligibility'!$B$3:$G$3,0)),"?"))="Check",IF(D122="","", IFERROR(INDEX('Tax Residency Eligibility'!$B$4:$G$9,MATCH(D122,'Tax Residency Eligibility'!$A$4:$A$9,0),MATCH($A122,'Tax Residency Eligibility'!$B$3:$G$3,0)),"?"))="Check",IF(E122="","", IFERROR(INDEX('Tax Residency Eligibility'!$B$4:$G$9,MATCH(E122,'Tax Residency Eligibility'!$A$4:$A$9,0),MATCH($A122,'Tax Residency Eligibility'!$B$3:$G$3,0)),"?"))="Check"),"Check directly","Yes"))</f>
        <v/>
      </c>
      <c r="G122" s="16">
        <f>IFERROR(VLOOKUP(C122,'Broker Fees'!$A$4:$G$9,7,0),0)+IF(D122="",0,IFERROR(VLOOKUP(D122,'Broker Fees'!$A$4:$G$9,7,0),0))+IF(E122="",0,IFERROR(VLOOKUP(E122,'Broker Fees'!$A$4:$G$9,7,0),0))</f>
        <v/>
      </c>
      <c r="H12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2" s="18">
        <f>VLOOKUP($A122,'Capital Gains Tax'!$A$4:$D$9,2,0)</f>
        <v/>
      </c>
      <c r="J122" s="18">
        <f>VLOOKUP($A122,'Capital Gains Tax'!$A$4:$D$9,3,0)</f>
        <v/>
      </c>
    </row>
    <row r="123" ht="15" customHeight="1">
      <c r="A123" s="9" t="inlineStr">
        <is>
          <t>EU</t>
        </is>
      </c>
      <c r="B123" s="9" t="inlineStr">
        <is>
          <t>Wio+Exante+Swissquote</t>
        </is>
      </c>
      <c r="C123" s="15" t="inlineStr">
        <is>
          <t>Wio</t>
        </is>
      </c>
      <c r="D123" s="15" t="inlineStr">
        <is>
          <t>Exante</t>
        </is>
      </c>
      <c r="E123" s="15" t="inlineStr">
        <is>
          <t>Swissquote</t>
        </is>
      </c>
      <c r="F123" s="9">
        <f>IF(OR(IF(C123="","", IFERROR(INDEX('Tax Residency Eligibility'!$B$4:$G$9,MATCH(C123,'Tax Residency Eligibility'!$A$4:$A$9,0),MATCH($A123,'Tax Residency Eligibility'!$B$3:$G$3,0)),"?"))="N",IF(D123="","", IFERROR(INDEX('Tax Residency Eligibility'!$B$4:$G$9,MATCH(D123,'Tax Residency Eligibility'!$A$4:$A$9,0),MATCH($A123,'Tax Residency Eligibility'!$B$3:$G$3,0)),"?"))="N",IF(E123="","", IFERROR(INDEX('Tax Residency Eligibility'!$B$4:$G$9,MATCH(E123,'Tax Residency Eligibility'!$A$4:$A$9,0),MATCH($A123,'Tax Residency Eligibility'!$B$3:$G$3,0)),"?"))="N"),"No",IF(OR(IF(C123="","", IFERROR(INDEX('Tax Residency Eligibility'!$B$4:$G$9,MATCH(C123,'Tax Residency Eligibility'!$A$4:$A$9,0),MATCH($A123,'Tax Residency Eligibility'!$B$3:$G$3,0)),"?"))="Check",IF(D123="","", IFERROR(INDEX('Tax Residency Eligibility'!$B$4:$G$9,MATCH(D123,'Tax Residency Eligibility'!$A$4:$A$9,0),MATCH($A123,'Tax Residency Eligibility'!$B$3:$G$3,0)),"?"))="Check",IF(E123="","", IFERROR(INDEX('Tax Residency Eligibility'!$B$4:$G$9,MATCH(E123,'Tax Residency Eligibility'!$A$4:$A$9,0),MATCH($A123,'Tax Residency Eligibility'!$B$3:$G$3,0)),"?"))="Check"),"Check directly","Yes"))</f>
        <v/>
      </c>
      <c r="G123" s="16">
        <f>IFERROR(VLOOKUP(C123,'Broker Fees'!$A$4:$G$9,7,0),0)+IF(D123="",0,IFERROR(VLOOKUP(D123,'Broker Fees'!$A$4:$G$9,7,0),0))+IF(E123="",0,IFERROR(VLOOKUP(E123,'Broker Fees'!$A$4:$G$9,7,0),0))</f>
        <v/>
      </c>
      <c r="H12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3" s="18">
        <f>VLOOKUP($A123,'Capital Gains Tax'!$A$4:$D$9,2,0)</f>
        <v/>
      </c>
      <c r="J123" s="18">
        <f>VLOOKUP($A123,'Capital Gains Tax'!$A$4:$D$9,3,0)</f>
        <v/>
      </c>
    </row>
    <row r="124" ht="15" customHeight="1">
      <c r="A124" s="9" t="inlineStr">
        <is>
          <t>EU</t>
        </is>
      </c>
      <c r="B124" s="9" t="inlineStr">
        <is>
          <t>Wio+Exante+XTB</t>
        </is>
      </c>
      <c r="C124" s="15" t="inlineStr">
        <is>
          <t>Wio</t>
        </is>
      </c>
      <c r="D124" s="15" t="inlineStr">
        <is>
          <t>Exante</t>
        </is>
      </c>
      <c r="E124" s="15" t="inlineStr">
        <is>
          <t>XTB</t>
        </is>
      </c>
      <c r="F124" s="9">
        <f>IF(OR(IF(C124="","", IFERROR(INDEX('Tax Residency Eligibility'!$B$4:$G$9,MATCH(C124,'Tax Residency Eligibility'!$A$4:$A$9,0),MATCH($A124,'Tax Residency Eligibility'!$B$3:$G$3,0)),"?"))="N",IF(D124="","", IFERROR(INDEX('Tax Residency Eligibility'!$B$4:$G$9,MATCH(D124,'Tax Residency Eligibility'!$A$4:$A$9,0),MATCH($A124,'Tax Residency Eligibility'!$B$3:$G$3,0)),"?"))="N",IF(E124="","", IFERROR(INDEX('Tax Residency Eligibility'!$B$4:$G$9,MATCH(E124,'Tax Residency Eligibility'!$A$4:$A$9,0),MATCH($A124,'Tax Residency Eligibility'!$B$3:$G$3,0)),"?"))="N"),"No",IF(OR(IF(C124="","", IFERROR(INDEX('Tax Residency Eligibility'!$B$4:$G$9,MATCH(C124,'Tax Residency Eligibility'!$A$4:$A$9,0),MATCH($A124,'Tax Residency Eligibility'!$B$3:$G$3,0)),"?"))="Check",IF(D124="","", IFERROR(INDEX('Tax Residency Eligibility'!$B$4:$G$9,MATCH(D124,'Tax Residency Eligibility'!$A$4:$A$9,0),MATCH($A124,'Tax Residency Eligibility'!$B$3:$G$3,0)),"?"))="Check",IF(E124="","", IFERROR(INDEX('Tax Residency Eligibility'!$B$4:$G$9,MATCH(E124,'Tax Residency Eligibility'!$A$4:$A$9,0),MATCH($A124,'Tax Residency Eligibility'!$B$3:$G$3,0)),"?"))="Check"),"Check directly","Yes"))</f>
        <v/>
      </c>
      <c r="G124" s="16">
        <f>IFERROR(VLOOKUP(C124,'Broker Fees'!$A$4:$G$9,7,0),0)+IF(D124="",0,IFERROR(VLOOKUP(D124,'Broker Fees'!$A$4:$G$9,7,0),0))+IF(E124="",0,IFERROR(VLOOKUP(E124,'Broker Fees'!$A$4:$G$9,7,0),0))</f>
        <v/>
      </c>
      <c r="H12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4" s="18">
        <f>VLOOKUP($A124,'Capital Gains Tax'!$A$4:$D$9,2,0)</f>
        <v/>
      </c>
      <c r="J124" s="18">
        <f>VLOOKUP($A124,'Capital Gains Tax'!$A$4:$D$9,3,0)</f>
        <v/>
      </c>
    </row>
    <row r="125" ht="15" customHeight="1">
      <c r="A125" s="9" t="inlineStr">
        <is>
          <t>EU</t>
        </is>
      </c>
      <c r="B125" s="9" t="inlineStr">
        <is>
          <t>Wio+Swissquote+XTB</t>
        </is>
      </c>
      <c r="C125" s="15" t="inlineStr">
        <is>
          <t>Wio</t>
        </is>
      </c>
      <c r="D125" s="15" t="inlineStr">
        <is>
          <t>Swissquote</t>
        </is>
      </c>
      <c r="E125" s="15" t="inlineStr">
        <is>
          <t>XTB</t>
        </is>
      </c>
      <c r="F125" s="9">
        <f>IF(OR(IF(C125="","", IFERROR(INDEX('Tax Residency Eligibility'!$B$4:$G$9,MATCH(C125,'Tax Residency Eligibility'!$A$4:$A$9,0),MATCH($A125,'Tax Residency Eligibility'!$B$3:$G$3,0)),"?"))="N",IF(D125="","", IFERROR(INDEX('Tax Residency Eligibility'!$B$4:$G$9,MATCH(D125,'Tax Residency Eligibility'!$A$4:$A$9,0),MATCH($A125,'Tax Residency Eligibility'!$B$3:$G$3,0)),"?"))="N",IF(E125="","", IFERROR(INDEX('Tax Residency Eligibility'!$B$4:$G$9,MATCH(E125,'Tax Residency Eligibility'!$A$4:$A$9,0),MATCH($A125,'Tax Residency Eligibility'!$B$3:$G$3,0)),"?"))="N"),"No",IF(OR(IF(C125="","", IFERROR(INDEX('Tax Residency Eligibility'!$B$4:$G$9,MATCH(C125,'Tax Residency Eligibility'!$A$4:$A$9,0),MATCH($A125,'Tax Residency Eligibility'!$B$3:$G$3,0)),"?"))="Check",IF(D125="","", IFERROR(INDEX('Tax Residency Eligibility'!$B$4:$G$9,MATCH(D125,'Tax Residency Eligibility'!$A$4:$A$9,0),MATCH($A125,'Tax Residency Eligibility'!$B$3:$G$3,0)),"?"))="Check",IF(E125="","", IFERROR(INDEX('Tax Residency Eligibility'!$B$4:$G$9,MATCH(E125,'Tax Residency Eligibility'!$A$4:$A$9,0),MATCH($A125,'Tax Residency Eligibility'!$B$3:$G$3,0)),"?"))="Check"),"Check directly","Yes"))</f>
        <v/>
      </c>
      <c r="G125" s="16">
        <f>IFERROR(VLOOKUP(C125,'Broker Fees'!$A$4:$G$9,7,0),0)+IF(D125="",0,IFERROR(VLOOKUP(D125,'Broker Fees'!$A$4:$G$9,7,0),0))+IF(E125="",0,IFERROR(VLOOKUP(E125,'Broker Fees'!$A$4:$G$9,7,0),0))</f>
        <v/>
      </c>
      <c r="H12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5" s="18">
        <f>VLOOKUP($A125,'Capital Gains Tax'!$A$4:$D$9,2,0)</f>
        <v/>
      </c>
      <c r="J125" s="18">
        <f>VLOOKUP($A125,'Capital Gains Tax'!$A$4:$D$9,3,0)</f>
        <v/>
      </c>
    </row>
    <row r="126" ht="15" customHeight="1">
      <c r="A126" s="9" t="inlineStr">
        <is>
          <t>EU</t>
        </is>
      </c>
      <c r="B126" s="9" t="inlineStr">
        <is>
          <t>Exante+Swissquote+XTB</t>
        </is>
      </c>
      <c r="C126" s="15" t="inlineStr">
        <is>
          <t>Exante</t>
        </is>
      </c>
      <c r="D126" s="15" t="inlineStr">
        <is>
          <t>Swissquote</t>
        </is>
      </c>
      <c r="E126" s="15" t="inlineStr">
        <is>
          <t>XTB</t>
        </is>
      </c>
      <c r="F126" s="9">
        <f>IF(OR(IF(C126="","", IFERROR(INDEX('Tax Residency Eligibility'!$B$4:$G$9,MATCH(C126,'Tax Residency Eligibility'!$A$4:$A$9,0),MATCH($A126,'Tax Residency Eligibility'!$B$3:$G$3,0)),"?"))="N",IF(D126="","", IFERROR(INDEX('Tax Residency Eligibility'!$B$4:$G$9,MATCH(D126,'Tax Residency Eligibility'!$A$4:$A$9,0),MATCH($A126,'Tax Residency Eligibility'!$B$3:$G$3,0)),"?"))="N",IF(E126="","", IFERROR(INDEX('Tax Residency Eligibility'!$B$4:$G$9,MATCH(E126,'Tax Residency Eligibility'!$A$4:$A$9,0),MATCH($A126,'Tax Residency Eligibility'!$B$3:$G$3,0)),"?"))="N"),"No",IF(OR(IF(C126="","", IFERROR(INDEX('Tax Residency Eligibility'!$B$4:$G$9,MATCH(C126,'Tax Residency Eligibility'!$A$4:$A$9,0),MATCH($A126,'Tax Residency Eligibility'!$B$3:$G$3,0)),"?"))="Check",IF(D126="","", IFERROR(INDEX('Tax Residency Eligibility'!$B$4:$G$9,MATCH(D126,'Tax Residency Eligibility'!$A$4:$A$9,0),MATCH($A126,'Tax Residency Eligibility'!$B$3:$G$3,0)),"?"))="Check",IF(E126="","", IFERROR(INDEX('Tax Residency Eligibility'!$B$4:$G$9,MATCH(E126,'Tax Residency Eligibility'!$A$4:$A$9,0),MATCH($A126,'Tax Residency Eligibility'!$B$3:$G$3,0)),"?"))="Check"),"Check directly","Yes"))</f>
        <v/>
      </c>
      <c r="G126" s="16">
        <f>IFERROR(VLOOKUP(C126,'Broker Fees'!$A$4:$G$9,7,0),0)+IF(D126="",0,IFERROR(VLOOKUP(D126,'Broker Fees'!$A$4:$G$9,7,0),0))+IF(E126="",0,IFERROR(VLOOKUP(E126,'Broker Fees'!$A$4:$G$9,7,0),0))</f>
        <v/>
      </c>
      <c r="H12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6" s="18">
        <f>VLOOKUP($A126,'Capital Gains Tax'!$A$4:$D$9,2,0)</f>
        <v/>
      </c>
      <c r="J126" s="18">
        <f>VLOOKUP($A126,'Capital Gains Tax'!$A$4:$D$9,3,0)</f>
        <v/>
      </c>
    </row>
    <row r="127" ht="15" customHeight="1">
      <c r="A127" s="9" t="inlineStr">
        <is>
          <t>UAE</t>
        </is>
      </c>
      <c r="B127" s="9" t="inlineStr">
        <is>
          <t>IBKR</t>
        </is>
      </c>
      <c r="C127" s="15" t="inlineStr">
        <is>
          <t>IBKR</t>
        </is>
      </c>
      <c r="D127" s="15" t="n"/>
      <c r="E127" s="15" t="n"/>
      <c r="F127" s="9">
        <f>IF(OR(IF(C127="","", IFERROR(INDEX('Tax Residency Eligibility'!$B$4:$G$9,MATCH(C127,'Tax Residency Eligibility'!$A$4:$A$9,0),MATCH($A127,'Tax Residency Eligibility'!$B$3:$G$3,0)),"?"))="N",IF(D127="","", IFERROR(INDEX('Tax Residency Eligibility'!$B$4:$G$9,MATCH(D127,'Tax Residency Eligibility'!$A$4:$A$9,0),MATCH($A127,'Tax Residency Eligibility'!$B$3:$G$3,0)),"?"))="N",IF(E127="","", IFERROR(INDEX('Tax Residency Eligibility'!$B$4:$G$9,MATCH(E127,'Tax Residency Eligibility'!$A$4:$A$9,0),MATCH($A127,'Tax Residency Eligibility'!$B$3:$G$3,0)),"?"))="N"),"No",IF(OR(IF(C127="","", IFERROR(INDEX('Tax Residency Eligibility'!$B$4:$G$9,MATCH(C127,'Tax Residency Eligibility'!$A$4:$A$9,0),MATCH($A127,'Tax Residency Eligibility'!$B$3:$G$3,0)),"?"))="Check",IF(D127="","", IFERROR(INDEX('Tax Residency Eligibility'!$B$4:$G$9,MATCH(D127,'Tax Residency Eligibility'!$A$4:$A$9,0),MATCH($A127,'Tax Residency Eligibility'!$B$3:$G$3,0)),"?"))="Check",IF(E127="","", IFERROR(INDEX('Tax Residency Eligibility'!$B$4:$G$9,MATCH(E127,'Tax Residency Eligibility'!$A$4:$A$9,0),MATCH($A127,'Tax Residency Eligibility'!$B$3:$G$3,0)),"?"))="Check"),"Check directly","Yes"))</f>
        <v/>
      </c>
      <c r="G127" s="16">
        <f>IFERROR(VLOOKUP(C127,'Broker Fees'!$A$4:$G$9,7,0),0)+IF(D127="",0,IFERROR(VLOOKUP(D127,'Broker Fees'!$A$4:$G$9,7,0),0))+IF(E127="",0,IFERROR(VLOOKUP(E127,'Broker Fees'!$A$4:$G$9,7,0),0))</f>
        <v/>
      </c>
      <c r="H12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7" s="18">
        <f>VLOOKUP($A127,'Capital Gains Tax'!$A$4:$D$9,2,0)</f>
        <v/>
      </c>
      <c r="J127" s="18">
        <f>VLOOKUP($A127,'Capital Gains Tax'!$A$4:$D$9,3,0)</f>
        <v/>
      </c>
    </row>
    <row r="128" ht="15" customHeight="1">
      <c r="A128" s="9" t="inlineStr">
        <is>
          <t>UAE</t>
        </is>
      </c>
      <c r="B128" s="9" t="inlineStr">
        <is>
          <t>Saxo</t>
        </is>
      </c>
      <c r="C128" s="15" t="inlineStr">
        <is>
          <t>Saxo</t>
        </is>
      </c>
      <c r="D128" s="15" t="n"/>
      <c r="E128" s="15" t="n"/>
      <c r="F128" s="9">
        <f>IF(OR(IF(C128="","", IFERROR(INDEX('Tax Residency Eligibility'!$B$4:$G$9,MATCH(C128,'Tax Residency Eligibility'!$A$4:$A$9,0),MATCH($A128,'Tax Residency Eligibility'!$B$3:$G$3,0)),"?"))="N",IF(D128="","", IFERROR(INDEX('Tax Residency Eligibility'!$B$4:$G$9,MATCH(D128,'Tax Residency Eligibility'!$A$4:$A$9,0),MATCH($A128,'Tax Residency Eligibility'!$B$3:$G$3,0)),"?"))="N",IF(E128="","", IFERROR(INDEX('Tax Residency Eligibility'!$B$4:$G$9,MATCH(E128,'Tax Residency Eligibility'!$A$4:$A$9,0),MATCH($A128,'Tax Residency Eligibility'!$B$3:$G$3,0)),"?"))="N"),"No",IF(OR(IF(C128="","", IFERROR(INDEX('Tax Residency Eligibility'!$B$4:$G$9,MATCH(C128,'Tax Residency Eligibility'!$A$4:$A$9,0),MATCH($A128,'Tax Residency Eligibility'!$B$3:$G$3,0)),"?"))="Check",IF(D128="","", IFERROR(INDEX('Tax Residency Eligibility'!$B$4:$G$9,MATCH(D128,'Tax Residency Eligibility'!$A$4:$A$9,0),MATCH($A128,'Tax Residency Eligibility'!$B$3:$G$3,0)),"?"))="Check",IF(E128="","", IFERROR(INDEX('Tax Residency Eligibility'!$B$4:$G$9,MATCH(E128,'Tax Residency Eligibility'!$A$4:$A$9,0),MATCH($A128,'Tax Residency Eligibility'!$B$3:$G$3,0)),"?"))="Check"),"Check directly","Yes"))</f>
        <v/>
      </c>
      <c r="G128" s="16">
        <f>IFERROR(VLOOKUP(C128,'Broker Fees'!$A$4:$G$9,7,0),0)+IF(D128="",0,IFERROR(VLOOKUP(D128,'Broker Fees'!$A$4:$G$9,7,0),0))+IF(E128="",0,IFERROR(VLOOKUP(E128,'Broker Fees'!$A$4:$G$9,7,0),0))</f>
        <v/>
      </c>
      <c r="H12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8" s="18">
        <f>VLOOKUP($A128,'Capital Gains Tax'!$A$4:$D$9,2,0)</f>
        <v/>
      </c>
      <c r="J128" s="18">
        <f>VLOOKUP($A128,'Capital Gains Tax'!$A$4:$D$9,3,0)</f>
        <v/>
      </c>
    </row>
    <row r="129" ht="15" customHeight="1">
      <c r="A129" s="9" t="inlineStr">
        <is>
          <t>UAE</t>
        </is>
      </c>
      <c r="B129" s="9" t="inlineStr">
        <is>
          <t>Wio</t>
        </is>
      </c>
      <c r="C129" s="15" t="inlineStr">
        <is>
          <t>Wio</t>
        </is>
      </c>
      <c r="D129" s="15" t="n"/>
      <c r="E129" s="15" t="n"/>
      <c r="F129" s="9">
        <f>IF(OR(IF(C129="","", IFERROR(INDEX('Tax Residency Eligibility'!$B$4:$G$9,MATCH(C129,'Tax Residency Eligibility'!$A$4:$A$9,0),MATCH($A129,'Tax Residency Eligibility'!$B$3:$G$3,0)),"?"))="N",IF(D129="","", IFERROR(INDEX('Tax Residency Eligibility'!$B$4:$G$9,MATCH(D129,'Tax Residency Eligibility'!$A$4:$A$9,0),MATCH($A129,'Tax Residency Eligibility'!$B$3:$G$3,0)),"?"))="N",IF(E129="","", IFERROR(INDEX('Tax Residency Eligibility'!$B$4:$G$9,MATCH(E129,'Tax Residency Eligibility'!$A$4:$A$9,0),MATCH($A129,'Tax Residency Eligibility'!$B$3:$G$3,0)),"?"))="N"),"No",IF(OR(IF(C129="","", IFERROR(INDEX('Tax Residency Eligibility'!$B$4:$G$9,MATCH(C129,'Tax Residency Eligibility'!$A$4:$A$9,0),MATCH($A129,'Tax Residency Eligibility'!$B$3:$G$3,0)),"?"))="Check",IF(D129="","", IFERROR(INDEX('Tax Residency Eligibility'!$B$4:$G$9,MATCH(D129,'Tax Residency Eligibility'!$A$4:$A$9,0),MATCH($A129,'Tax Residency Eligibility'!$B$3:$G$3,0)),"?"))="Check",IF(E129="","", IFERROR(INDEX('Tax Residency Eligibility'!$B$4:$G$9,MATCH(E129,'Tax Residency Eligibility'!$A$4:$A$9,0),MATCH($A129,'Tax Residency Eligibility'!$B$3:$G$3,0)),"?"))="Check"),"Check directly","Yes"))</f>
        <v/>
      </c>
      <c r="G129" s="16">
        <f>IFERROR(VLOOKUP(C129,'Broker Fees'!$A$4:$G$9,7,0),0)+IF(D129="",0,IFERROR(VLOOKUP(D129,'Broker Fees'!$A$4:$G$9,7,0),0))+IF(E129="",0,IFERROR(VLOOKUP(E129,'Broker Fees'!$A$4:$G$9,7,0),0))</f>
        <v/>
      </c>
      <c r="H12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29" s="18">
        <f>VLOOKUP($A129,'Capital Gains Tax'!$A$4:$D$9,2,0)</f>
        <v/>
      </c>
      <c r="J129" s="18">
        <f>VLOOKUP($A129,'Capital Gains Tax'!$A$4:$D$9,3,0)</f>
        <v/>
      </c>
    </row>
    <row r="130" ht="15" customHeight="1">
      <c r="A130" s="9" t="inlineStr">
        <is>
          <t>UAE</t>
        </is>
      </c>
      <c r="B130" s="9" t="inlineStr">
        <is>
          <t>Exante</t>
        </is>
      </c>
      <c r="C130" s="15" t="inlineStr">
        <is>
          <t>Exante</t>
        </is>
      </c>
      <c r="D130" s="15" t="n"/>
      <c r="E130" s="15" t="n"/>
      <c r="F130" s="9">
        <f>IF(OR(IF(C130="","", IFERROR(INDEX('Tax Residency Eligibility'!$B$4:$G$9,MATCH(C130,'Tax Residency Eligibility'!$A$4:$A$9,0),MATCH($A130,'Tax Residency Eligibility'!$B$3:$G$3,0)),"?"))="N",IF(D130="","", IFERROR(INDEX('Tax Residency Eligibility'!$B$4:$G$9,MATCH(D130,'Tax Residency Eligibility'!$A$4:$A$9,0),MATCH($A130,'Tax Residency Eligibility'!$B$3:$G$3,0)),"?"))="N",IF(E130="","", IFERROR(INDEX('Tax Residency Eligibility'!$B$4:$G$9,MATCH(E130,'Tax Residency Eligibility'!$A$4:$A$9,0),MATCH($A130,'Tax Residency Eligibility'!$B$3:$G$3,0)),"?"))="N"),"No",IF(OR(IF(C130="","", IFERROR(INDEX('Tax Residency Eligibility'!$B$4:$G$9,MATCH(C130,'Tax Residency Eligibility'!$A$4:$A$9,0),MATCH($A130,'Tax Residency Eligibility'!$B$3:$G$3,0)),"?"))="Check",IF(D130="","", IFERROR(INDEX('Tax Residency Eligibility'!$B$4:$G$9,MATCH(D130,'Tax Residency Eligibility'!$A$4:$A$9,0),MATCH($A130,'Tax Residency Eligibility'!$B$3:$G$3,0)),"?"))="Check",IF(E130="","", IFERROR(INDEX('Tax Residency Eligibility'!$B$4:$G$9,MATCH(E130,'Tax Residency Eligibility'!$A$4:$A$9,0),MATCH($A130,'Tax Residency Eligibility'!$B$3:$G$3,0)),"?"))="Check"),"Check directly","Yes"))</f>
        <v/>
      </c>
      <c r="G130" s="16">
        <f>IFERROR(VLOOKUP(C130,'Broker Fees'!$A$4:$G$9,7,0),0)+IF(D130="",0,IFERROR(VLOOKUP(D130,'Broker Fees'!$A$4:$G$9,7,0),0))+IF(E130="",0,IFERROR(VLOOKUP(E130,'Broker Fees'!$A$4:$G$9,7,0),0))</f>
        <v/>
      </c>
      <c r="H13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0" s="18">
        <f>VLOOKUP($A130,'Capital Gains Tax'!$A$4:$D$9,2,0)</f>
        <v/>
      </c>
      <c r="J130" s="18">
        <f>VLOOKUP($A130,'Capital Gains Tax'!$A$4:$D$9,3,0)</f>
        <v/>
      </c>
    </row>
    <row r="131" ht="15" customHeight="1">
      <c r="A131" s="9" t="inlineStr">
        <is>
          <t>UAE</t>
        </is>
      </c>
      <c r="B131" s="9" t="inlineStr">
        <is>
          <t>Swissquote</t>
        </is>
      </c>
      <c r="C131" s="15" t="inlineStr">
        <is>
          <t>Swissquote</t>
        </is>
      </c>
      <c r="D131" s="15" t="n"/>
      <c r="E131" s="15" t="n"/>
      <c r="F131" s="9">
        <f>IF(OR(IF(C131="","", IFERROR(INDEX('Tax Residency Eligibility'!$B$4:$G$9,MATCH(C131,'Tax Residency Eligibility'!$A$4:$A$9,0),MATCH($A131,'Tax Residency Eligibility'!$B$3:$G$3,0)),"?"))="N",IF(D131="","", IFERROR(INDEX('Tax Residency Eligibility'!$B$4:$G$9,MATCH(D131,'Tax Residency Eligibility'!$A$4:$A$9,0),MATCH($A131,'Tax Residency Eligibility'!$B$3:$G$3,0)),"?"))="N",IF(E131="","", IFERROR(INDEX('Tax Residency Eligibility'!$B$4:$G$9,MATCH(E131,'Tax Residency Eligibility'!$A$4:$A$9,0),MATCH($A131,'Tax Residency Eligibility'!$B$3:$G$3,0)),"?"))="N"),"No",IF(OR(IF(C131="","", IFERROR(INDEX('Tax Residency Eligibility'!$B$4:$G$9,MATCH(C131,'Tax Residency Eligibility'!$A$4:$A$9,0),MATCH($A131,'Tax Residency Eligibility'!$B$3:$G$3,0)),"?"))="Check",IF(D131="","", IFERROR(INDEX('Tax Residency Eligibility'!$B$4:$G$9,MATCH(D131,'Tax Residency Eligibility'!$A$4:$A$9,0),MATCH($A131,'Tax Residency Eligibility'!$B$3:$G$3,0)),"?"))="Check",IF(E131="","", IFERROR(INDEX('Tax Residency Eligibility'!$B$4:$G$9,MATCH(E131,'Tax Residency Eligibility'!$A$4:$A$9,0),MATCH($A131,'Tax Residency Eligibility'!$B$3:$G$3,0)),"?"))="Check"),"Check directly","Yes"))</f>
        <v/>
      </c>
      <c r="G131" s="16">
        <f>IFERROR(VLOOKUP(C131,'Broker Fees'!$A$4:$G$9,7,0),0)+IF(D131="",0,IFERROR(VLOOKUP(D131,'Broker Fees'!$A$4:$G$9,7,0),0))+IF(E131="",0,IFERROR(VLOOKUP(E131,'Broker Fees'!$A$4:$G$9,7,0),0))</f>
        <v/>
      </c>
      <c r="H13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1" s="18">
        <f>VLOOKUP($A131,'Capital Gains Tax'!$A$4:$D$9,2,0)</f>
        <v/>
      </c>
      <c r="J131" s="18">
        <f>VLOOKUP($A131,'Capital Gains Tax'!$A$4:$D$9,3,0)</f>
        <v/>
      </c>
    </row>
    <row r="132" ht="15" customHeight="1">
      <c r="A132" s="9" t="inlineStr">
        <is>
          <t>UAE</t>
        </is>
      </c>
      <c r="B132" s="9" t="inlineStr">
        <is>
          <t>XTB</t>
        </is>
      </c>
      <c r="C132" s="15" t="inlineStr">
        <is>
          <t>XTB</t>
        </is>
      </c>
      <c r="D132" s="15" t="n"/>
      <c r="E132" s="15" t="n"/>
      <c r="F132" s="9">
        <f>IF(OR(IF(C132="","", IFERROR(INDEX('Tax Residency Eligibility'!$B$4:$G$9,MATCH(C132,'Tax Residency Eligibility'!$A$4:$A$9,0),MATCH($A132,'Tax Residency Eligibility'!$B$3:$G$3,0)),"?"))="N",IF(D132="","", IFERROR(INDEX('Tax Residency Eligibility'!$B$4:$G$9,MATCH(D132,'Tax Residency Eligibility'!$A$4:$A$9,0),MATCH($A132,'Tax Residency Eligibility'!$B$3:$G$3,0)),"?"))="N",IF(E132="","", IFERROR(INDEX('Tax Residency Eligibility'!$B$4:$G$9,MATCH(E132,'Tax Residency Eligibility'!$A$4:$A$9,0),MATCH($A132,'Tax Residency Eligibility'!$B$3:$G$3,0)),"?"))="N"),"No",IF(OR(IF(C132="","", IFERROR(INDEX('Tax Residency Eligibility'!$B$4:$G$9,MATCH(C132,'Tax Residency Eligibility'!$A$4:$A$9,0),MATCH($A132,'Tax Residency Eligibility'!$B$3:$G$3,0)),"?"))="Check",IF(D132="","", IFERROR(INDEX('Tax Residency Eligibility'!$B$4:$G$9,MATCH(D132,'Tax Residency Eligibility'!$A$4:$A$9,0),MATCH($A132,'Tax Residency Eligibility'!$B$3:$G$3,0)),"?"))="Check",IF(E132="","", IFERROR(INDEX('Tax Residency Eligibility'!$B$4:$G$9,MATCH(E132,'Tax Residency Eligibility'!$A$4:$A$9,0),MATCH($A132,'Tax Residency Eligibility'!$B$3:$G$3,0)),"?"))="Check"),"Check directly","Yes"))</f>
        <v/>
      </c>
      <c r="G132" s="16">
        <f>IFERROR(VLOOKUP(C132,'Broker Fees'!$A$4:$G$9,7,0),0)+IF(D132="",0,IFERROR(VLOOKUP(D132,'Broker Fees'!$A$4:$G$9,7,0),0))+IF(E132="",0,IFERROR(VLOOKUP(E132,'Broker Fees'!$A$4:$G$9,7,0),0))</f>
        <v/>
      </c>
      <c r="H13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2" s="18">
        <f>VLOOKUP($A132,'Capital Gains Tax'!$A$4:$D$9,2,0)</f>
        <v/>
      </c>
      <c r="J132" s="18">
        <f>VLOOKUP($A132,'Capital Gains Tax'!$A$4:$D$9,3,0)</f>
        <v/>
      </c>
    </row>
    <row r="133" ht="15" customHeight="1">
      <c r="A133" s="9" t="inlineStr">
        <is>
          <t>UAE</t>
        </is>
      </c>
      <c r="B133" s="9" t="inlineStr">
        <is>
          <t>IBKR+Saxo</t>
        </is>
      </c>
      <c r="C133" s="15" t="inlineStr">
        <is>
          <t>IBKR</t>
        </is>
      </c>
      <c r="D133" s="15" t="inlineStr">
        <is>
          <t>Saxo</t>
        </is>
      </c>
      <c r="E133" s="15" t="n"/>
      <c r="F133" s="9">
        <f>IF(OR(IF(C133="","", IFERROR(INDEX('Tax Residency Eligibility'!$B$4:$G$9,MATCH(C133,'Tax Residency Eligibility'!$A$4:$A$9,0),MATCH($A133,'Tax Residency Eligibility'!$B$3:$G$3,0)),"?"))="N",IF(D133="","", IFERROR(INDEX('Tax Residency Eligibility'!$B$4:$G$9,MATCH(D133,'Tax Residency Eligibility'!$A$4:$A$9,0),MATCH($A133,'Tax Residency Eligibility'!$B$3:$G$3,0)),"?"))="N",IF(E133="","", IFERROR(INDEX('Tax Residency Eligibility'!$B$4:$G$9,MATCH(E133,'Tax Residency Eligibility'!$A$4:$A$9,0),MATCH($A133,'Tax Residency Eligibility'!$B$3:$G$3,0)),"?"))="N"),"No",IF(OR(IF(C133="","", IFERROR(INDEX('Tax Residency Eligibility'!$B$4:$G$9,MATCH(C133,'Tax Residency Eligibility'!$A$4:$A$9,0),MATCH($A133,'Tax Residency Eligibility'!$B$3:$G$3,0)),"?"))="Check",IF(D133="","", IFERROR(INDEX('Tax Residency Eligibility'!$B$4:$G$9,MATCH(D133,'Tax Residency Eligibility'!$A$4:$A$9,0),MATCH($A133,'Tax Residency Eligibility'!$B$3:$G$3,0)),"?"))="Check",IF(E133="","", IFERROR(INDEX('Tax Residency Eligibility'!$B$4:$G$9,MATCH(E133,'Tax Residency Eligibility'!$A$4:$A$9,0),MATCH($A133,'Tax Residency Eligibility'!$B$3:$G$3,0)),"?"))="Check"),"Check directly","Yes"))</f>
        <v/>
      </c>
      <c r="G133" s="16">
        <f>IFERROR(VLOOKUP(C133,'Broker Fees'!$A$4:$G$9,7,0),0)+IF(D133="",0,IFERROR(VLOOKUP(D133,'Broker Fees'!$A$4:$G$9,7,0),0))+IF(E133="",0,IFERROR(VLOOKUP(E133,'Broker Fees'!$A$4:$G$9,7,0),0))</f>
        <v/>
      </c>
      <c r="H13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3" s="18">
        <f>VLOOKUP($A133,'Capital Gains Tax'!$A$4:$D$9,2,0)</f>
        <v/>
      </c>
      <c r="J133" s="18">
        <f>VLOOKUP($A133,'Capital Gains Tax'!$A$4:$D$9,3,0)</f>
        <v/>
      </c>
    </row>
    <row r="134" ht="15" customHeight="1">
      <c r="A134" s="9" t="inlineStr">
        <is>
          <t>UAE</t>
        </is>
      </c>
      <c r="B134" s="9" t="inlineStr">
        <is>
          <t>IBKR+Wio</t>
        </is>
      </c>
      <c r="C134" s="15" t="inlineStr">
        <is>
          <t>IBKR</t>
        </is>
      </c>
      <c r="D134" s="15" t="inlineStr">
        <is>
          <t>Wio</t>
        </is>
      </c>
      <c r="E134" s="15" t="n"/>
      <c r="F134" s="9">
        <f>IF(OR(IF(C134="","", IFERROR(INDEX('Tax Residency Eligibility'!$B$4:$G$9,MATCH(C134,'Tax Residency Eligibility'!$A$4:$A$9,0),MATCH($A134,'Tax Residency Eligibility'!$B$3:$G$3,0)),"?"))="N",IF(D134="","", IFERROR(INDEX('Tax Residency Eligibility'!$B$4:$G$9,MATCH(D134,'Tax Residency Eligibility'!$A$4:$A$9,0),MATCH($A134,'Tax Residency Eligibility'!$B$3:$G$3,0)),"?"))="N",IF(E134="","", IFERROR(INDEX('Tax Residency Eligibility'!$B$4:$G$9,MATCH(E134,'Tax Residency Eligibility'!$A$4:$A$9,0),MATCH($A134,'Tax Residency Eligibility'!$B$3:$G$3,0)),"?"))="N"),"No",IF(OR(IF(C134="","", IFERROR(INDEX('Tax Residency Eligibility'!$B$4:$G$9,MATCH(C134,'Tax Residency Eligibility'!$A$4:$A$9,0),MATCH($A134,'Tax Residency Eligibility'!$B$3:$G$3,0)),"?"))="Check",IF(D134="","", IFERROR(INDEX('Tax Residency Eligibility'!$B$4:$G$9,MATCH(D134,'Tax Residency Eligibility'!$A$4:$A$9,0),MATCH($A134,'Tax Residency Eligibility'!$B$3:$G$3,0)),"?"))="Check",IF(E134="","", IFERROR(INDEX('Tax Residency Eligibility'!$B$4:$G$9,MATCH(E134,'Tax Residency Eligibility'!$A$4:$A$9,0),MATCH($A134,'Tax Residency Eligibility'!$B$3:$G$3,0)),"?"))="Check"),"Check directly","Yes"))</f>
        <v/>
      </c>
      <c r="G134" s="16">
        <f>IFERROR(VLOOKUP(C134,'Broker Fees'!$A$4:$G$9,7,0),0)+IF(D134="",0,IFERROR(VLOOKUP(D134,'Broker Fees'!$A$4:$G$9,7,0),0))+IF(E134="",0,IFERROR(VLOOKUP(E134,'Broker Fees'!$A$4:$G$9,7,0),0))</f>
        <v/>
      </c>
      <c r="H13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4" s="18">
        <f>VLOOKUP($A134,'Capital Gains Tax'!$A$4:$D$9,2,0)</f>
        <v/>
      </c>
      <c r="J134" s="18">
        <f>VLOOKUP($A134,'Capital Gains Tax'!$A$4:$D$9,3,0)</f>
        <v/>
      </c>
    </row>
    <row r="135" ht="15" customHeight="1">
      <c r="A135" s="9" t="inlineStr">
        <is>
          <t>UAE</t>
        </is>
      </c>
      <c r="B135" s="9" t="inlineStr">
        <is>
          <t>IBKR+Exante</t>
        </is>
      </c>
      <c r="C135" s="15" t="inlineStr">
        <is>
          <t>IBKR</t>
        </is>
      </c>
      <c r="D135" s="15" t="inlineStr">
        <is>
          <t>Exante</t>
        </is>
      </c>
      <c r="E135" s="15" t="n"/>
      <c r="F135" s="9">
        <f>IF(OR(IF(C135="","", IFERROR(INDEX('Tax Residency Eligibility'!$B$4:$G$9,MATCH(C135,'Tax Residency Eligibility'!$A$4:$A$9,0),MATCH($A135,'Tax Residency Eligibility'!$B$3:$G$3,0)),"?"))="N",IF(D135="","", IFERROR(INDEX('Tax Residency Eligibility'!$B$4:$G$9,MATCH(D135,'Tax Residency Eligibility'!$A$4:$A$9,0),MATCH($A135,'Tax Residency Eligibility'!$B$3:$G$3,0)),"?"))="N",IF(E135="","", IFERROR(INDEX('Tax Residency Eligibility'!$B$4:$G$9,MATCH(E135,'Tax Residency Eligibility'!$A$4:$A$9,0),MATCH($A135,'Tax Residency Eligibility'!$B$3:$G$3,0)),"?"))="N"),"No",IF(OR(IF(C135="","", IFERROR(INDEX('Tax Residency Eligibility'!$B$4:$G$9,MATCH(C135,'Tax Residency Eligibility'!$A$4:$A$9,0),MATCH($A135,'Tax Residency Eligibility'!$B$3:$G$3,0)),"?"))="Check",IF(D135="","", IFERROR(INDEX('Tax Residency Eligibility'!$B$4:$G$9,MATCH(D135,'Tax Residency Eligibility'!$A$4:$A$9,0),MATCH($A135,'Tax Residency Eligibility'!$B$3:$G$3,0)),"?"))="Check",IF(E135="","", IFERROR(INDEX('Tax Residency Eligibility'!$B$4:$G$9,MATCH(E135,'Tax Residency Eligibility'!$A$4:$A$9,0),MATCH($A135,'Tax Residency Eligibility'!$B$3:$G$3,0)),"?"))="Check"),"Check directly","Yes"))</f>
        <v/>
      </c>
      <c r="G135" s="16">
        <f>IFERROR(VLOOKUP(C135,'Broker Fees'!$A$4:$G$9,7,0),0)+IF(D135="",0,IFERROR(VLOOKUP(D135,'Broker Fees'!$A$4:$G$9,7,0),0))+IF(E135="",0,IFERROR(VLOOKUP(E135,'Broker Fees'!$A$4:$G$9,7,0),0))</f>
        <v/>
      </c>
      <c r="H13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5" s="18">
        <f>VLOOKUP($A135,'Capital Gains Tax'!$A$4:$D$9,2,0)</f>
        <v/>
      </c>
      <c r="J135" s="18">
        <f>VLOOKUP($A135,'Capital Gains Tax'!$A$4:$D$9,3,0)</f>
        <v/>
      </c>
    </row>
    <row r="136" ht="15" customHeight="1">
      <c r="A136" s="9" t="inlineStr">
        <is>
          <t>UAE</t>
        </is>
      </c>
      <c r="B136" s="9" t="inlineStr">
        <is>
          <t>IBKR+Swissquote</t>
        </is>
      </c>
      <c r="C136" s="15" t="inlineStr">
        <is>
          <t>IBKR</t>
        </is>
      </c>
      <c r="D136" s="15" t="inlineStr">
        <is>
          <t>Swissquote</t>
        </is>
      </c>
      <c r="E136" s="15" t="n"/>
      <c r="F136" s="9">
        <f>IF(OR(IF(C136="","", IFERROR(INDEX('Tax Residency Eligibility'!$B$4:$G$9,MATCH(C136,'Tax Residency Eligibility'!$A$4:$A$9,0),MATCH($A136,'Tax Residency Eligibility'!$B$3:$G$3,0)),"?"))="N",IF(D136="","", IFERROR(INDEX('Tax Residency Eligibility'!$B$4:$G$9,MATCH(D136,'Tax Residency Eligibility'!$A$4:$A$9,0),MATCH($A136,'Tax Residency Eligibility'!$B$3:$G$3,0)),"?"))="N",IF(E136="","", IFERROR(INDEX('Tax Residency Eligibility'!$B$4:$G$9,MATCH(E136,'Tax Residency Eligibility'!$A$4:$A$9,0),MATCH($A136,'Tax Residency Eligibility'!$B$3:$G$3,0)),"?"))="N"),"No",IF(OR(IF(C136="","", IFERROR(INDEX('Tax Residency Eligibility'!$B$4:$G$9,MATCH(C136,'Tax Residency Eligibility'!$A$4:$A$9,0),MATCH($A136,'Tax Residency Eligibility'!$B$3:$G$3,0)),"?"))="Check",IF(D136="","", IFERROR(INDEX('Tax Residency Eligibility'!$B$4:$G$9,MATCH(D136,'Tax Residency Eligibility'!$A$4:$A$9,0),MATCH($A136,'Tax Residency Eligibility'!$B$3:$G$3,0)),"?"))="Check",IF(E136="","", IFERROR(INDEX('Tax Residency Eligibility'!$B$4:$G$9,MATCH(E136,'Tax Residency Eligibility'!$A$4:$A$9,0),MATCH($A136,'Tax Residency Eligibility'!$B$3:$G$3,0)),"?"))="Check"),"Check directly","Yes"))</f>
        <v/>
      </c>
      <c r="G136" s="16">
        <f>IFERROR(VLOOKUP(C136,'Broker Fees'!$A$4:$G$9,7,0),0)+IF(D136="",0,IFERROR(VLOOKUP(D136,'Broker Fees'!$A$4:$G$9,7,0),0))+IF(E136="",0,IFERROR(VLOOKUP(E136,'Broker Fees'!$A$4:$G$9,7,0),0))</f>
        <v/>
      </c>
      <c r="H13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6" s="18">
        <f>VLOOKUP($A136,'Capital Gains Tax'!$A$4:$D$9,2,0)</f>
        <v/>
      </c>
      <c r="J136" s="18">
        <f>VLOOKUP($A136,'Capital Gains Tax'!$A$4:$D$9,3,0)</f>
        <v/>
      </c>
    </row>
    <row r="137" ht="15" customHeight="1">
      <c r="A137" s="9" t="inlineStr">
        <is>
          <t>UAE</t>
        </is>
      </c>
      <c r="B137" s="9" t="inlineStr">
        <is>
          <t>IBKR+XTB</t>
        </is>
      </c>
      <c r="C137" s="15" t="inlineStr">
        <is>
          <t>IBKR</t>
        </is>
      </c>
      <c r="D137" s="15" t="inlineStr">
        <is>
          <t>XTB</t>
        </is>
      </c>
      <c r="E137" s="15" t="n"/>
      <c r="F137" s="9">
        <f>IF(OR(IF(C137="","", IFERROR(INDEX('Tax Residency Eligibility'!$B$4:$G$9,MATCH(C137,'Tax Residency Eligibility'!$A$4:$A$9,0),MATCH($A137,'Tax Residency Eligibility'!$B$3:$G$3,0)),"?"))="N",IF(D137="","", IFERROR(INDEX('Tax Residency Eligibility'!$B$4:$G$9,MATCH(D137,'Tax Residency Eligibility'!$A$4:$A$9,0),MATCH($A137,'Tax Residency Eligibility'!$B$3:$G$3,0)),"?"))="N",IF(E137="","", IFERROR(INDEX('Tax Residency Eligibility'!$B$4:$G$9,MATCH(E137,'Tax Residency Eligibility'!$A$4:$A$9,0),MATCH($A137,'Tax Residency Eligibility'!$B$3:$G$3,0)),"?"))="N"),"No",IF(OR(IF(C137="","", IFERROR(INDEX('Tax Residency Eligibility'!$B$4:$G$9,MATCH(C137,'Tax Residency Eligibility'!$A$4:$A$9,0),MATCH($A137,'Tax Residency Eligibility'!$B$3:$G$3,0)),"?"))="Check",IF(D137="","", IFERROR(INDEX('Tax Residency Eligibility'!$B$4:$G$9,MATCH(D137,'Tax Residency Eligibility'!$A$4:$A$9,0),MATCH($A137,'Tax Residency Eligibility'!$B$3:$G$3,0)),"?"))="Check",IF(E137="","", IFERROR(INDEX('Tax Residency Eligibility'!$B$4:$G$9,MATCH(E137,'Tax Residency Eligibility'!$A$4:$A$9,0),MATCH($A137,'Tax Residency Eligibility'!$B$3:$G$3,0)),"?"))="Check"),"Check directly","Yes"))</f>
        <v/>
      </c>
      <c r="G137" s="16">
        <f>IFERROR(VLOOKUP(C137,'Broker Fees'!$A$4:$G$9,7,0),0)+IF(D137="",0,IFERROR(VLOOKUP(D137,'Broker Fees'!$A$4:$G$9,7,0),0))+IF(E137="",0,IFERROR(VLOOKUP(E137,'Broker Fees'!$A$4:$G$9,7,0),0))</f>
        <v/>
      </c>
      <c r="H13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7" s="18">
        <f>VLOOKUP($A137,'Capital Gains Tax'!$A$4:$D$9,2,0)</f>
        <v/>
      </c>
      <c r="J137" s="18">
        <f>VLOOKUP($A137,'Capital Gains Tax'!$A$4:$D$9,3,0)</f>
        <v/>
      </c>
    </row>
    <row r="138" ht="15" customHeight="1">
      <c r="A138" s="9" t="inlineStr">
        <is>
          <t>UAE</t>
        </is>
      </c>
      <c r="B138" s="9" t="inlineStr">
        <is>
          <t>Saxo+Wio</t>
        </is>
      </c>
      <c r="C138" s="15" t="inlineStr">
        <is>
          <t>Saxo</t>
        </is>
      </c>
      <c r="D138" s="15" t="inlineStr">
        <is>
          <t>Wio</t>
        </is>
      </c>
      <c r="E138" s="15" t="n"/>
      <c r="F138" s="9">
        <f>IF(OR(IF(C138="","", IFERROR(INDEX('Tax Residency Eligibility'!$B$4:$G$9,MATCH(C138,'Tax Residency Eligibility'!$A$4:$A$9,0),MATCH($A138,'Tax Residency Eligibility'!$B$3:$G$3,0)),"?"))="N",IF(D138="","", IFERROR(INDEX('Tax Residency Eligibility'!$B$4:$G$9,MATCH(D138,'Tax Residency Eligibility'!$A$4:$A$9,0),MATCH($A138,'Tax Residency Eligibility'!$B$3:$G$3,0)),"?"))="N",IF(E138="","", IFERROR(INDEX('Tax Residency Eligibility'!$B$4:$G$9,MATCH(E138,'Tax Residency Eligibility'!$A$4:$A$9,0),MATCH($A138,'Tax Residency Eligibility'!$B$3:$G$3,0)),"?"))="N"),"No",IF(OR(IF(C138="","", IFERROR(INDEX('Tax Residency Eligibility'!$B$4:$G$9,MATCH(C138,'Tax Residency Eligibility'!$A$4:$A$9,0),MATCH($A138,'Tax Residency Eligibility'!$B$3:$G$3,0)),"?"))="Check",IF(D138="","", IFERROR(INDEX('Tax Residency Eligibility'!$B$4:$G$9,MATCH(D138,'Tax Residency Eligibility'!$A$4:$A$9,0),MATCH($A138,'Tax Residency Eligibility'!$B$3:$G$3,0)),"?"))="Check",IF(E138="","", IFERROR(INDEX('Tax Residency Eligibility'!$B$4:$G$9,MATCH(E138,'Tax Residency Eligibility'!$A$4:$A$9,0),MATCH($A138,'Tax Residency Eligibility'!$B$3:$G$3,0)),"?"))="Check"),"Check directly","Yes"))</f>
        <v/>
      </c>
      <c r="G138" s="16">
        <f>IFERROR(VLOOKUP(C138,'Broker Fees'!$A$4:$G$9,7,0),0)+IF(D138="",0,IFERROR(VLOOKUP(D138,'Broker Fees'!$A$4:$G$9,7,0),0))+IF(E138="",0,IFERROR(VLOOKUP(E138,'Broker Fees'!$A$4:$G$9,7,0),0))</f>
        <v/>
      </c>
      <c r="H13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8" s="18">
        <f>VLOOKUP($A138,'Capital Gains Tax'!$A$4:$D$9,2,0)</f>
        <v/>
      </c>
      <c r="J138" s="18">
        <f>VLOOKUP($A138,'Capital Gains Tax'!$A$4:$D$9,3,0)</f>
        <v/>
      </c>
    </row>
    <row r="139" ht="15" customHeight="1">
      <c r="A139" s="9" t="inlineStr">
        <is>
          <t>UAE</t>
        </is>
      </c>
      <c r="B139" s="9" t="inlineStr">
        <is>
          <t>Saxo+Exante</t>
        </is>
      </c>
      <c r="C139" s="15" t="inlineStr">
        <is>
          <t>Saxo</t>
        </is>
      </c>
      <c r="D139" s="15" t="inlineStr">
        <is>
          <t>Exante</t>
        </is>
      </c>
      <c r="E139" s="15" t="n"/>
      <c r="F139" s="9">
        <f>IF(OR(IF(C139="","", IFERROR(INDEX('Tax Residency Eligibility'!$B$4:$G$9,MATCH(C139,'Tax Residency Eligibility'!$A$4:$A$9,0),MATCH($A139,'Tax Residency Eligibility'!$B$3:$G$3,0)),"?"))="N",IF(D139="","", IFERROR(INDEX('Tax Residency Eligibility'!$B$4:$G$9,MATCH(D139,'Tax Residency Eligibility'!$A$4:$A$9,0),MATCH($A139,'Tax Residency Eligibility'!$B$3:$G$3,0)),"?"))="N",IF(E139="","", IFERROR(INDEX('Tax Residency Eligibility'!$B$4:$G$9,MATCH(E139,'Tax Residency Eligibility'!$A$4:$A$9,0),MATCH($A139,'Tax Residency Eligibility'!$B$3:$G$3,0)),"?"))="N"),"No",IF(OR(IF(C139="","", IFERROR(INDEX('Tax Residency Eligibility'!$B$4:$G$9,MATCH(C139,'Tax Residency Eligibility'!$A$4:$A$9,0),MATCH($A139,'Tax Residency Eligibility'!$B$3:$G$3,0)),"?"))="Check",IF(D139="","", IFERROR(INDEX('Tax Residency Eligibility'!$B$4:$G$9,MATCH(D139,'Tax Residency Eligibility'!$A$4:$A$9,0),MATCH($A139,'Tax Residency Eligibility'!$B$3:$G$3,0)),"?"))="Check",IF(E139="","", IFERROR(INDEX('Tax Residency Eligibility'!$B$4:$G$9,MATCH(E139,'Tax Residency Eligibility'!$A$4:$A$9,0),MATCH($A139,'Tax Residency Eligibility'!$B$3:$G$3,0)),"?"))="Check"),"Check directly","Yes"))</f>
        <v/>
      </c>
      <c r="G139" s="16">
        <f>IFERROR(VLOOKUP(C139,'Broker Fees'!$A$4:$G$9,7,0),0)+IF(D139="",0,IFERROR(VLOOKUP(D139,'Broker Fees'!$A$4:$G$9,7,0),0))+IF(E139="",0,IFERROR(VLOOKUP(E139,'Broker Fees'!$A$4:$G$9,7,0),0))</f>
        <v/>
      </c>
      <c r="H13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39" s="18">
        <f>VLOOKUP($A139,'Capital Gains Tax'!$A$4:$D$9,2,0)</f>
        <v/>
      </c>
      <c r="J139" s="18">
        <f>VLOOKUP($A139,'Capital Gains Tax'!$A$4:$D$9,3,0)</f>
        <v/>
      </c>
    </row>
    <row r="140" ht="15" customHeight="1">
      <c r="A140" s="9" t="inlineStr">
        <is>
          <t>UAE</t>
        </is>
      </c>
      <c r="B140" s="9" t="inlineStr">
        <is>
          <t>Saxo+Swissquote</t>
        </is>
      </c>
      <c r="C140" s="15" t="inlineStr">
        <is>
          <t>Saxo</t>
        </is>
      </c>
      <c r="D140" s="15" t="inlineStr">
        <is>
          <t>Swissquote</t>
        </is>
      </c>
      <c r="E140" s="15" t="n"/>
      <c r="F140" s="9">
        <f>IF(OR(IF(C140="","", IFERROR(INDEX('Tax Residency Eligibility'!$B$4:$G$9,MATCH(C140,'Tax Residency Eligibility'!$A$4:$A$9,0),MATCH($A140,'Tax Residency Eligibility'!$B$3:$G$3,0)),"?"))="N",IF(D140="","", IFERROR(INDEX('Tax Residency Eligibility'!$B$4:$G$9,MATCH(D140,'Tax Residency Eligibility'!$A$4:$A$9,0),MATCH($A140,'Tax Residency Eligibility'!$B$3:$G$3,0)),"?"))="N",IF(E140="","", IFERROR(INDEX('Tax Residency Eligibility'!$B$4:$G$9,MATCH(E140,'Tax Residency Eligibility'!$A$4:$A$9,0),MATCH($A140,'Tax Residency Eligibility'!$B$3:$G$3,0)),"?"))="N"),"No",IF(OR(IF(C140="","", IFERROR(INDEX('Tax Residency Eligibility'!$B$4:$G$9,MATCH(C140,'Tax Residency Eligibility'!$A$4:$A$9,0),MATCH($A140,'Tax Residency Eligibility'!$B$3:$G$3,0)),"?"))="Check",IF(D140="","", IFERROR(INDEX('Tax Residency Eligibility'!$B$4:$G$9,MATCH(D140,'Tax Residency Eligibility'!$A$4:$A$9,0),MATCH($A140,'Tax Residency Eligibility'!$B$3:$G$3,0)),"?"))="Check",IF(E140="","", IFERROR(INDEX('Tax Residency Eligibility'!$B$4:$G$9,MATCH(E140,'Tax Residency Eligibility'!$A$4:$A$9,0),MATCH($A140,'Tax Residency Eligibility'!$B$3:$G$3,0)),"?"))="Check"),"Check directly","Yes"))</f>
        <v/>
      </c>
      <c r="G140" s="16">
        <f>IFERROR(VLOOKUP(C140,'Broker Fees'!$A$4:$G$9,7,0),0)+IF(D140="",0,IFERROR(VLOOKUP(D140,'Broker Fees'!$A$4:$G$9,7,0),0))+IF(E140="",0,IFERROR(VLOOKUP(E140,'Broker Fees'!$A$4:$G$9,7,0),0))</f>
        <v/>
      </c>
      <c r="H14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0" s="18">
        <f>VLOOKUP($A140,'Capital Gains Tax'!$A$4:$D$9,2,0)</f>
        <v/>
      </c>
      <c r="J140" s="18">
        <f>VLOOKUP($A140,'Capital Gains Tax'!$A$4:$D$9,3,0)</f>
        <v/>
      </c>
    </row>
    <row r="141" ht="15" customHeight="1">
      <c r="A141" s="9" t="inlineStr">
        <is>
          <t>UAE</t>
        </is>
      </c>
      <c r="B141" s="9" t="inlineStr">
        <is>
          <t>Saxo+XTB</t>
        </is>
      </c>
      <c r="C141" s="15" t="inlineStr">
        <is>
          <t>Saxo</t>
        </is>
      </c>
      <c r="D141" s="15" t="inlineStr">
        <is>
          <t>XTB</t>
        </is>
      </c>
      <c r="E141" s="15" t="n"/>
      <c r="F141" s="9">
        <f>IF(OR(IF(C141="","", IFERROR(INDEX('Tax Residency Eligibility'!$B$4:$G$9,MATCH(C141,'Tax Residency Eligibility'!$A$4:$A$9,0),MATCH($A141,'Tax Residency Eligibility'!$B$3:$G$3,0)),"?"))="N",IF(D141="","", IFERROR(INDEX('Tax Residency Eligibility'!$B$4:$G$9,MATCH(D141,'Tax Residency Eligibility'!$A$4:$A$9,0),MATCH($A141,'Tax Residency Eligibility'!$B$3:$G$3,0)),"?"))="N",IF(E141="","", IFERROR(INDEX('Tax Residency Eligibility'!$B$4:$G$9,MATCH(E141,'Tax Residency Eligibility'!$A$4:$A$9,0),MATCH($A141,'Tax Residency Eligibility'!$B$3:$G$3,0)),"?"))="N"),"No",IF(OR(IF(C141="","", IFERROR(INDEX('Tax Residency Eligibility'!$B$4:$G$9,MATCH(C141,'Tax Residency Eligibility'!$A$4:$A$9,0),MATCH($A141,'Tax Residency Eligibility'!$B$3:$G$3,0)),"?"))="Check",IF(D141="","", IFERROR(INDEX('Tax Residency Eligibility'!$B$4:$G$9,MATCH(D141,'Tax Residency Eligibility'!$A$4:$A$9,0),MATCH($A141,'Tax Residency Eligibility'!$B$3:$G$3,0)),"?"))="Check",IF(E141="","", IFERROR(INDEX('Tax Residency Eligibility'!$B$4:$G$9,MATCH(E141,'Tax Residency Eligibility'!$A$4:$A$9,0),MATCH($A141,'Tax Residency Eligibility'!$B$3:$G$3,0)),"?"))="Check"),"Check directly","Yes"))</f>
        <v/>
      </c>
      <c r="G141" s="16">
        <f>IFERROR(VLOOKUP(C141,'Broker Fees'!$A$4:$G$9,7,0),0)+IF(D141="",0,IFERROR(VLOOKUP(D141,'Broker Fees'!$A$4:$G$9,7,0),0))+IF(E141="",0,IFERROR(VLOOKUP(E141,'Broker Fees'!$A$4:$G$9,7,0),0))</f>
        <v/>
      </c>
      <c r="H14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1" s="18">
        <f>VLOOKUP($A141,'Capital Gains Tax'!$A$4:$D$9,2,0)</f>
        <v/>
      </c>
      <c r="J141" s="18">
        <f>VLOOKUP($A141,'Capital Gains Tax'!$A$4:$D$9,3,0)</f>
        <v/>
      </c>
    </row>
    <row r="142" ht="15" customHeight="1">
      <c r="A142" s="9" t="inlineStr">
        <is>
          <t>UAE</t>
        </is>
      </c>
      <c r="B142" s="9" t="inlineStr">
        <is>
          <t>Wio+Exante</t>
        </is>
      </c>
      <c r="C142" s="15" t="inlineStr">
        <is>
          <t>Wio</t>
        </is>
      </c>
      <c r="D142" s="15" t="inlineStr">
        <is>
          <t>Exante</t>
        </is>
      </c>
      <c r="E142" s="15" t="n"/>
      <c r="F142" s="9">
        <f>IF(OR(IF(C142="","", IFERROR(INDEX('Tax Residency Eligibility'!$B$4:$G$9,MATCH(C142,'Tax Residency Eligibility'!$A$4:$A$9,0),MATCH($A142,'Tax Residency Eligibility'!$B$3:$G$3,0)),"?"))="N",IF(D142="","", IFERROR(INDEX('Tax Residency Eligibility'!$B$4:$G$9,MATCH(D142,'Tax Residency Eligibility'!$A$4:$A$9,0),MATCH($A142,'Tax Residency Eligibility'!$B$3:$G$3,0)),"?"))="N",IF(E142="","", IFERROR(INDEX('Tax Residency Eligibility'!$B$4:$G$9,MATCH(E142,'Tax Residency Eligibility'!$A$4:$A$9,0),MATCH($A142,'Tax Residency Eligibility'!$B$3:$G$3,0)),"?"))="N"),"No",IF(OR(IF(C142="","", IFERROR(INDEX('Tax Residency Eligibility'!$B$4:$G$9,MATCH(C142,'Tax Residency Eligibility'!$A$4:$A$9,0),MATCH($A142,'Tax Residency Eligibility'!$B$3:$G$3,0)),"?"))="Check",IF(D142="","", IFERROR(INDEX('Tax Residency Eligibility'!$B$4:$G$9,MATCH(D142,'Tax Residency Eligibility'!$A$4:$A$9,0),MATCH($A142,'Tax Residency Eligibility'!$B$3:$G$3,0)),"?"))="Check",IF(E142="","", IFERROR(INDEX('Tax Residency Eligibility'!$B$4:$G$9,MATCH(E142,'Tax Residency Eligibility'!$A$4:$A$9,0),MATCH($A142,'Tax Residency Eligibility'!$B$3:$G$3,0)),"?"))="Check"),"Check directly","Yes"))</f>
        <v/>
      </c>
      <c r="G142" s="16">
        <f>IFERROR(VLOOKUP(C142,'Broker Fees'!$A$4:$G$9,7,0),0)+IF(D142="",0,IFERROR(VLOOKUP(D142,'Broker Fees'!$A$4:$G$9,7,0),0))+IF(E142="",0,IFERROR(VLOOKUP(E142,'Broker Fees'!$A$4:$G$9,7,0),0))</f>
        <v/>
      </c>
      <c r="H14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2" s="18">
        <f>VLOOKUP($A142,'Capital Gains Tax'!$A$4:$D$9,2,0)</f>
        <v/>
      </c>
      <c r="J142" s="18">
        <f>VLOOKUP($A142,'Capital Gains Tax'!$A$4:$D$9,3,0)</f>
        <v/>
      </c>
    </row>
    <row r="143" ht="15" customHeight="1">
      <c r="A143" s="9" t="inlineStr">
        <is>
          <t>UAE</t>
        </is>
      </c>
      <c r="B143" s="9" t="inlineStr">
        <is>
          <t>Wio+Swissquote</t>
        </is>
      </c>
      <c r="C143" s="15" t="inlineStr">
        <is>
          <t>Wio</t>
        </is>
      </c>
      <c r="D143" s="15" t="inlineStr">
        <is>
          <t>Swissquote</t>
        </is>
      </c>
      <c r="E143" s="15" t="n"/>
      <c r="F143" s="9">
        <f>IF(OR(IF(C143="","", IFERROR(INDEX('Tax Residency Eligibility'!$B$4:$G$9,MATCH(C143,'Tax Residency Eligibility'!$A$4:$A$9,0),MATCH($A143,'Tax Residency Eligibility'!$B$3:$G$3,0)),"?"))="N",IF(D143="","", IFERROR(INDEX('Tax Residency Eligibility'!$B$4:$G$9,MATCH(D143,'Tax Residency Eligibility'!$A$4:$A$9,0),MATCH($A143,'Tax Residency Eligibility'!$B$3:$G$3,0)),"?"))="N",IF(E143="","", IFERROR(INDEX('Tax Residency Eligibility'!$B$4:$G$9,MATCH(E143,'Tax Residency Eligibility'!$A$4:$A$9,0),MATCH($A143,'Tax Residency Eligibility'!$B$3:$G$3,0)),"?"))="N"),"No",IF(OR(IF(C143="","", IFERROR(INDEX('Tax Residency Eligibility'!$B$4:$G$9,MATCH(C143,'Tax Residency Eligibility'!$A$4:$A$9,0),MATCH($A143,'Tax Residency Eligibility'!$B$3:$G$3,0)),"?"))="Check",IF(D143="","", IFERROR(INDEX('Tax Residency Eligibility'!$B$4:$G$9,MATCH(D143,'Tax Residency Eligibility'!$A$4:$A$9,0),MATCH($A143,'Tax Residency Eligibility'!$B$3:$G$3,0)),"?"))="Check",IF(E143="","", IFERROR(INDEX('Tax Residency Eligibility'!$B$4:$G$9,MATCH(E143,'Tax Residency Eligibility'!$A$4:$A$9,0),MATCH($A143,'Tax Residency Eligibility'!$B$3:$G$3,0)),"?"))="Check"),"Check directly","Yes"))</f>
        <v/>
      </c>
      <c r="G143" s="16">
        <f>IFERROR(VLOOKUP(C143,'Broker Fees'!$A$4:$G$9,7,0),0)+IF(D143="",0,IFERROR(VLOOKUP(D143,'Broker Fees'!$A$4:$G$9,7,0),0))+IF(E143="",0,IFERROR(VLOOKUP(E143,'Broker Fees'!$A$4:$G$9,7,0),0))</f>
        <v/>
      </c>
      <c r="H14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3" s="18">
        <f>VLOOKUP($A143,'Capital Gains Tax'!$A$4:$D$9,2,0)</f>
        <v/>
      </c>
      <c r="J143" s="18">
        <f>VLOOKUP($A143,'Capital Gains Tax'!$A$4:$D$9,3,0)</f>
        <v/>
      </c>
    </row>
    <row r="144" ht="15" customHeight="1">
      <c r="A144" s="9" t="inlineStr">
        <is>
          <t>UAE</t>
        </is>
      </c>
      <c r="B144" s="9" t="inlineStr">
        <is>
          <t>Wio+XTB</t>
        </is>
      </c>
      <c r="C144" s="15" t="inlineStr">
        <is>
          <t>Wio</t>
        </is>
      </c>
      <c r="D144" s="15" t="inlineStr">
        <is>
          <t>XTB</t>
        </is>
      </c>
      <c r="E144" s="15" t="n"/>
      <c r="F144" s="9">
        <f>IF(OR(IF(C144="","", IFERROR(INDEX('Tax Residency Eligibility'!$B$4:$G$9,MATCH(C144,'Tax Residency Eligibility'!$A$4:$A$9,0),MATCH($A144,'Tax Residency Eligibility'!$B$3:$G$3,0)),"?"))="N",IF(D144="","", IFERROR(INDEX('Tax Residency Eligibility'!$B$4:$G$9,MATCH(D144,'Tax Residency Eligibility'!$A$4:$A$9,0),MATCH($A144,'Tax Residency Eligibility'!$B$3:$G$3,0)),"?"))="N",IF(E144="","", IFERROR(INDEX('Tax Residency Eligibility'!$B$4:$G$9,MATCH(E144,'Tax Residency Eligibility'!$A$4:$A$9,0),MATCH($A144,'Tax Residency Eligibility'!$B$3:$G$3,0)),"?"))="N"),"No",IF(OR(IF(C144="","", IFERROR(INDEX('Tax Residency Eligibility'!$B$4:$G$9,MATCH(C144,'Tax Residency Eligibility'!$A$4:$A$9,0),MATCH($A144,'Tax Residency Eligibility'!$B$3:$G$3,0)),"?"))="Check",IF(D144="","", IFERROR(INDEX('Tax Residency Eligibility'!$B$4:$G$9,MATCH(D144,'Tax Residency Eligibility'!$A$4:$A$9,0),MATCH($A144,'Tax Residency Eligibility'!$B$3:$G$3,0)),"?"))="Check",IF(E144="","", IFERROR(INDEX('Tax Residency Eligibility'!$B$4:$G$9,MATCH(E144,'Tax Residency Eligibility'!$A$4:$A$9,0),MATCH($A144,'Tax Residency Eligibility'!$B$3:$G$3,0)),"?"))="Check"),"Check directly","Yes"))</f>
        <v/>
      </c>
      <c r="G144" s="16">
        <f>IFERROR(VLOOKUP(C144,'Broker Fees'!$A$4:$G$9,7,0),0)+IF(D144="",0,IFERROR(VLOOKUP(D144,'Broker Fees'!$A$4:$G$9,7,0),0))+IF(E144="",0,IFERROR(VLOOKUP(E144,'Broker Fees'!$A$4:$G$9,7,0),0))</f>
        <v/>
      </c>
      <c r="H14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4" s="18">
        <f>VLOOKUP($A144,'Capital Gains Tax'!$A$4:$D$9,2,0)</f>
        <v/>
      </c>
      <c r="J144" s="18">
        <f>VLOOKUP($A144,'Capital Gains Tax'!$A$4:$D$9,3,0)</f>
        <v/>
      </c>
    </row>
    <row r="145" ht="15" customHeight="1">
      <c r="A145" s="9" t="inlineStr">
        <is>
          <t>UAE</t>
        </is>
      </c>
      <c r="B145" s="9" t="inlineStr">
        <is>
          <t>Exante+Swissquote</t>
        </is>
      </c>
      <c r="C145" s="15" t="inlineStr">
        <is>
          <t>Exante</t>
        </is>
      </c>
      <c r="D145" s="15" t="inlineStr">
        <is>
          <t>Swissquote</t>
        </is>
      </c>
      <c r="E145" s="15" t="n"/>
      <c r="F145" s="9">
        <f>IF(OR(IF(C145="","", IFERROR(INDEX('Tax Residency Eligibility'!$B$4:$G$9,MATCH(C145,'Tax Residency Eligibility'!$A$4:$A$9,0),MATCH($A145,'Tax Residency Eligibility'!$B$3:$G$3,0)),"?"))="N",IF(D145="","", IFERROR(INDEX('Tax Residency Eligibility'!$B$4:$G$9,MATCH(D145,'Tax Residency Eligibility'!$A$4:$A$9,0),MATCH($A145,'Tax Residency Eligibility'!$B$3:$G$3,0)),"?"))="N",IF(E145="","", IFERROR(INDEX('Tax Residency Eligibility'!$B$4:$G$9,MATCH(E145,'Tax Residency Eligibility'!$A$4:$A$9,0),MATCH($A145,'Tax Residency Eligibility'!$B$3:$G$3,0)),"?"))="N"),"No",IF(OR(IF(C145="","", IFERROR(INDEX('Tax Residency Eligibility'!$B$4:$G$9,MATCH(C145,'Tax Residency Eligibility'!$A$4:$A$9,0),MATCH($A145,'Tax Residency Eligibility'!$B$3:$G$3,0)),"?"))="Check",IF(D145="","", IFERROR(INDEX('Tax Residency Eligibility'!$B$4:$G$9,MATCH(D145,'Tax Residency Eligibility'!$A$4:$A$9,0),MATCH($A145,'Tax Residency Eligibility'!$B$3:$G$3,0)),"?"))="Check",IF(E145="","", IFERROR(INDEX('Tax Residency Eligibility'!$B$4:$G$9,MATCH(E145,'Tax Residency Eligibility'!$A$4:$A$9,0),MATCH($A145,'Tax Residency Eligibility'!$B$3:$G$3,0)),"?"))="Check"),"Check directly","Yes"))</f>
        <v/>
      </c>
      <c r="G145" s="16">
        <f>IFERROR(VLOOKUP(C145,'Broker Fees'!$A$4:$G$9,7,0),0)+IF(D145="",0,IFERROR(VLOOKUP(D145,'Broker Fees'!$A$4:$G$9,7,0),0))+IF(E145="",0,IFERROR(VLOOKUP(E145,'Broker Fees'!$A$4:$G$9,7,0),0))</f>
        <v/>
      </c>
      <c r="H14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5" s="18">
        <f>VLOOKUP($A145,'Capital Gains Tax'!$A$4:$D$9,2,0)</f>
        <v/>
      </c>
      <c r="J145" s="18">
        <f>VLOOKUP($A145,'Capital Gains Tax'!$A$4:$D$9,3,0)</f>
        <v/>
      </c>
    </row>
    <row r="146" ht="15" customHeight="1">
      <c r="A146" s="9" t="inlineStr">
        <is>
          <t>UAE</t>
        </is>
      </c>
      <c r="B146" s="9" t="inlineStr">
        <is>
          <t>Exante+XTB</t>
        </is>
      </c>
      <c r="C146" s="15" t="inlineStr">
        <is>
          <t>Exante</t>
        </is>
      </c>
      <c r="D146" s="15" t="inlineStr">
        <is>
          <t>XTB</t>
        </is>
      </c>
      <c r="E146" s="15" t="n"/>
      <c r="F146" s="9">
        <f>IF(OR(IF(C146="","", IFERROR(INDEX('Tax Residency Eligibility'!$B$4:$G$9,MATCH(C146,'Tax Residency Eligibility'!$A$4:$A$9,0),MATCH($A146,'Tax Residency Eligibility'!$B$3:$G$3,0)),"?"))="N",IF(D146="","", IFERROR(INDEX('Tax Residency Eligibility'!$B$4:$G$9,MATCH(D146,'Tax Residency Eligibility'!$A$4:$A$9,0),MATCH($A146,'Tax Residency Eligibility'!$B$3:$G$3,0)),"?"))="N",IF(E146="","", IFERROR(INDEX('Tax Residency Eligibility'!$B$4:$G$9,MATCH(E146,'Tax Residency Eligibility'!$A$4:$A$9,0),MATCH($A146,'Tax Residency Eligibility'!$B$3:$G$3,0)),"?"))="N"),"No",IF(OR(IF(C146="","", IFERROR(INDEX('Tax Residency Eligibility'!$B$4:$G$9,MATCH(C146,'Tax Residency Eligibility'!$A$4:$A$9,0),MATCH($A146,'Tax Residency Eligibility'!$B$3:$G$3,0)),"?"))="Check",IF(D146="","", IFERROR(INDEX('Tax Residency Eligibility'!$B$4:$G$9,MATCH(D146,'Tax Residency Eligibility'!$A$4:$A$9,0),MATCH($A146,'Tax Residency Eligibility'!$B$3:$G$3,0)),"?"))="Check",IF(E146="","", IFERROR(INDEX('Tax Residency Eligibility'!$B$4:$G$9,MATCH(E146,'Tax Residency Eligibility'!$A$4:$A$9,0),MATCH($A146,'Tax Residency Eligibility'!$B$3:$G$3,0)),"?"))="Check"),"Check directly","Yes"))</f>
        <v/>
      </c>
      <c r="G146" s="16">
        <f>IFERROR(VLOOKUP(C146,'Broker Fees'!$A$4:$G$9,7,0),0)+IF(D146="",0,IFERROR(VLOOKUP(D146,'Broker Fees'!$A$4:$G$9,7,0),0))+IF(E146="",0,IFERROR(VLOOKUP(E146,'Broker Fees'!$A$4:$G$9,7,0),0))</f>
        <v/>
      </c>
      <c r="H14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6" s="18">
        <f>VLOOKUP($A146,'Capital Gains Tax'!$A$4:$D$9,2,0)</f>
        <v/>
      </c>
      <c r="J146" s="18">
        <f>VLOOKUP($A146,'Capital Gains Tax'!$A$4:$D$9,3,0)</f>
        <v/>
      </c>
    </row>
    <row r="147" ht="15" customHeight="1">
      <c r="A147" s="9" t="inlineStr">
        <is>
          <t>UAE</t>
        </is>
      </c>
      <c r="B147" s="9" t="inlineStr">
        <is>
          <t>Swissquote+XTB</t>
        </is>
      </c>
      <c r="C147" s="15" t="inlineStr">
        <is>
          <t>Swissquote</t>
        </is>
      </c>
      <c r="D147" s="15" t="inlineStr">
        <is>
          <t>XTB</t>
        </is>
      </c>
      <c r="E147" s="15" t="n"/>
      <c r="F147" s="9">
        <f>IF(OR(IF(C147="","", IFERROR(INDEX('Tax Residency Eligibility'!$B$4:$G$9,MATCH(C147,'Tax Residency Eligibility'!$A$4:$A$9,0),MATCH($A147,'Tax Residency Eligibility'!$B$3:$G$3,0)),"?"))="N",IF(D147="","", IFERROR(INDEX('Tax Residency Eligibility'!$B$4:$G$9,MATCH(D147,'Tax Residency Eligibility'!$A$4:$A$9,0),MATCH($A147,'Tax Residency Eligibility'!$B$3:$G$3,0)),"?"))="N",IF(E147="","", IFERROR(INDEX('Tax Residency Eligibility'!$B$4:$G$9,MATCH(E147,'Tax Residency Eligibility'!$A$4:$A$9,0),MATCH($A147,'Tax Residency Eligibility'!$B$3:$G$3,0)),"?"))="N"),"No",IF(OR(IF(C147="","", IFERROR(INDEX('Tax Residency Eligibility'!$B$4:$G$9,MATCH(C147,'Tax Residency Eligibility'!$A$4:$A$9,0),MATCH($A147,'Tax Residency Eligibility'!$B$3:$G$3,0)),"?"))="Check",IF(D147="","", IFERROR(INDEX('Tax Residency Eligibility'!$B$4:$G$9,MATCH(D147,'Tax Residency Eligibility'!$A$4:$A$9,0),MATCH($A147,'Tax Residency Eligibility'!$B$3:$G$3,0)),"?"))="Check",IF(E147="","", IFERROR(INDEX('Tax Residency Eligibility'!$B$4:$G$9,MATCH(E147,'Tax Residency Eligibility'!$A$4:$A$9,0),MATCH($A147,'Tax Residency Eligibility'!$B$3:$G$3,0)),"?"))="Check"),"Check directly","Yes"))</f>
        <v/>
      </c>
      <c r="G147" s="16">
        <f>IFERROR(VLOOKUP(C147,'Broker Fees'!$A$4:$G$9,7,0),0)+IF(D147="",0,IFERROR(VLOOKUP(D147,'Broker Fees'!$A$4:$G$9,7,0),0))+IF(E147="",0,IFERROR(VLOOKUP(E147,'Broker Fees'!$A$4:$G$9,7,0),0))</f>
        <v/>
      </c>
      <c r="H14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7" s="18">
        <f>VLOOKUP($A147,'Capital Gains Tax'!$A$4:$D$9,2,0)</f>
        <v/>
      </c>
      <c r="J147" s="18">
        <f>VLOOKUP($A147,'Capital Gains Tax'!$A$4:$D$9,3,0)</f>
        <v/>
      </c>
    </row>
    <row r="148" ht="15" customHeight="1">
      <c r="A148" s="9" t="inlineStr">
        <is>
          <t>UAE</t>
        </is>
      </c>
      <c r="B148" s="9" t="inlineStr">
        <is>
          <t>IBKR+Saxo+Wio</t>
        </is>
      </c>
      <c r="C148" s="15" t="inlineStr">
        <is>
          <t>IBKR</t>
        </is>
      </c>
      <c r="D148" s="15" t="inlineStr">
        <is>
          <t>Saxo</t>
        </is>
      </c>
      <c r="E148" s="15" t="inlineStr">
        <is>
          <t>Wio</t>
        </is>
      </c>
      <c r="F148" s="9">
        <f>IF(OR(IF(C148="","", IFERROR(INDEX('Tax Residency Eligibility'!$B$4:$G$9,MATCH(C148,'Tax Residency Eligibility'!$A$4:$A$9,0),MATCH($A148,'Tax Residency Eligibility'!$B$3:$G$3,0)),"?"))="N",IF(D148="","", IFERROR(INDEX('Tax Residency Eligibility'!$B$4:$G$9,MATCH(D148,'Tax Residency Eligibility'!$A$4:$A$9,0),MATCH($A148,'Tax Residency Eligibility'!$B$3:$G$3,0)),"?"))="N",IF(E148="","", IFERROR(INDEX('Tax Residency Eligibility'!$B$4:$G$9,MATCH(E148,'Tax Residency Eligibility'!$A$4:$A$9,0),MATCH($A148,'Tax Residency Eligibility'!$B$3:$G$3,0)),"?"))="N"),"No",IF(OR(IF(C148="","", IFERROR(INDEX('Tax Residency Eligibility'!$B$4:$G$9,MATCH(C148,'Tax Residency Eligibility'!$A$4:$A$9,0),MATCH($A148,'Tax Residency Eligibility'!$B$3:$G$3,0)),"?"))="Check",IF(D148="","", IFERROR(INDEX('Tax Residency Eligibility'!$B$4:$G$9,MATCH(D148,'Tax Residency Eligibility'!$A$4:$A$9,0),MATCH($A148,'Tax Residency Eligibility'!$B$3:$G$3,0)),"?"))="Check",IF(E148="","", IFERROR(INDEX('Tax Residency Eligibility'!$B$4:$G$9,MATCH(E148,'Tax Residency Eligibility'!$A$4:$A$9,0),MATCH($A148,'Tax Residency Eligibility'!$B$3:$G$3,0)),"?"))="Check"),"Check directly","Yes"))</f>
        <v/>
      </c>
      <c r="G148" s="16">
        <f>IFERROR(VLOOKUP(C148,'Broker Fees'!$A$4:$G$9,7,0),0)+IF(D148="",0,IFERROR(VLOOKUP(D148,'Broker Fees'!$A$4:$G$9,7,0),0))+IF(E148="",0,IFERROR(VLOOKUP(E148,'Broker Fees'!$A$4:$G$9,7,0),0))</f>
        <v/>
      </c>
      <c r="H14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8" s="18">
        <f>VLOOKUP($A148,'Capital Gains Tax'!$A$4:$D$9,2,0)</f>
        <v/>
      </c>
      <c r="J148" s="18">
        <f>VLOOKUP($A148,'Capital Gains Tax'!$A$4:$D$9,3,0)</f>
        <v/>
      </c>
    </row>
    <row r="149" ht="15" customHeight="1">
      <c r="A149" s="9" t="inlineStr">
        <is>
          <t>UAE</t>
        </is>
      </c>
      <c r="B149" s="9" t="inlineStr">
        <is>
          <t>IBKR+Saxo+Exante</t>
        </is>
      </c>
      <c r="C149" s="15" t="inlineStr">
        <is>
          <t>IBKR</t>
        </is>
      </c>
      <c r="D149" s="15" t="inlineStr">
        <is>
          <t>Saxo</t>
        </is>
      </c>
      <c r="E149" s="15" t="inlineStr">
        <is>
          <t>Exante</t>
        </is>
      </c>
      <c r="F149" s="9">
        <f>IF(OR(IF(C149="","", IFERROR(INDEX('Tax Residency Eligibility'!$B$4:$G$9,MATCH(C149,'Tax Residency Eligibility'!$A$4:$A$9,0),MATCH($A149,'Tax Residency Eligibility'!$B$3:$G$3,0)),"?"))="N",IF(D149="","", IFERROR(INDEX('Tax Residency Eligibility'!$B$4:$G$9,MATCH(D149,'Tax Residency Eligibility'!$A$4:$A$9,0),MATCH($A149,'Tax Residency Eligibility'!$B$3:$G$3,0)),"?"))="N",IF(E149="","", IFERROR(INDEX('Tax Residency Eligibility'!$B$4:$G$9,MATCH(E149,'Tax Residency Eligibility'!$A$4:$A$9,0),MATCH($A149,'Tax Residency Eligibility'!$B$3:$G$3,0)),"?"))="N"),"No",IF(OR(IF(C149="","", IFERROR(INDEX('Tax Residency Eligibility'!$B$4:$G$9,MATCH(C149,'Tax Residency Eligibility'!$A$4:$A$9,0),MATCH($A149,'Tax Residency Eligibility'!$B$3:$G$3,0)),"?"))="Check",IF(D149="","", IFERROR(INDEX('Tax Residency Eligibility'!$B$4:$G$9,MATCH(D149,'Tax Residency Eligibility'!$A$4:$A$9,0),MATCH($A149,'Tax Residency Eligibility'!$B$3:$G$3,0)),"?"))="Check",IF(E149="","", IFERROR(INDEX('Tax Residency Eligibility'!$B$4:$G$9,MATCH(E149,'Tax Residency Eligibility'!$A$4:$A$9,0),MATCH($A149,'Tax Residency Eligibility'!$B$3:$G$3,0)),"?"))="Check"),"Check directly","Yes"))</f>
        <v/>
      </c>
      <c r="G149" s="16">
        <f>IFERROR(VLOOKUP(C149,'Broker Fees'!$A$4:$G$9,7,0),0)+IF(D149="",0,IFERROR(VLOOKUP(D149,'Broker Fees'!$A$4:$G$9,7,0),0))+IF(E149="",0,IFERROR(VLOOKUP(E149,'Broker Fees'!$A$4:$G$9,7,0),0))</f>
        <v/>
      </c>
      <c r="H14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49" s="18">
        <f>VLOOKUP($A149,'Capital Gains Tax'!$A$4:$D$9,2,0)</f>
        <v/>
      </c>
      <c r="J149" s="18">
        <f>VLOOKUP($A149,'Capital Gains Tax'!$A$4:$D$9,3,0)</f>
        <v/>
      </c>
    </row>
    <row r="150" ht="15" customHeight="1">
      <c r="A150" s="9" t="inlineStr">
        <is>
          <t>UAE</t>
        </is>
      </c>
      <c r="B150" s="9" t="inlineStr">
        <is>
          <t>IBKR+Saxo+Swissquote</t>
        </is>
      </c>
      <c r="C150" s="15" t="inlineStr">
        <is>
          <t>IBKR</t>
        </is>
      </c>
      <c r="D150" s="15" t="inlineStr">
        <is>
          <t>Saxo</t>
        </is>
      </c>
      <c r="E150" s="15" t="inlineStr">
        <is>
          <t>Swissquote</t>
        </is>
      </c>
      <c r="F150" s="9">
        <f>IF(OR(IF(C150="","", IFERROR(INDEX('Tax Residency Eligibility'!$B$4:$G$9,MATCH(C150,'Tax Residency Eligibility'!$A$4:$A$9,0),MATCH($A150,'Tax Residency Eligibility'!$B$3:$G$3,0)),"?"))="N",IF(D150="","", IFERROR(INDEX('Tax Residency Eligibility'!$B$4:$G$9,MATCH(D150,'Tax Residency Eligibility'!$A$4:$A$9,0),MATCH($A150,'Tax Residency Eligibility'!$B$3:$G$3,0)),"?"))="N",IF(E150="","", IFERROR(INDEX('Tax Residency Eligibility'!$B$4:$G$9,MATCH(E150,'Tax Residency Eligibility'!$A$4:$A$9,0),MATCH($A150,'Tax Residency Eligibility'!$B$3:$G$3,0)),"?"))="N"),"No",IF(OR(IF(C150="","", IFERROR(INDEX('Tax Residency Eligibility'!$B$4:$G$9,MATCH(C150,'Tax Residency Eligibility'!$A$4:$A$9,0),MATCH($A150,'Tax Residency Eligibility'!$B$3:$G$3,0)),"?"))="Check",IF(D150="","", IFERROR(INDEX('Tax Residency Eligibility'!$B$4:$G$9,MATCH(D150,'Tax Residency Eligibility'!$A$4:$A$9,0),MATCH($A150,'Tax Residency Eligibility'!$B$3:$G$3,0)),"?"))="Check",IF(E150="","", IFERROR(INDEX('Tax Residency Eligibility'!$B$4:$G$9,MATCH(E150,'Tax Residency Eligibility'!$A$4:$A$9,0),MATCH($A150,'Tax Residency Eligibility'!$B$3:$G$3,0)),"?"))="Check"),"Check directly","Yes"))</f>
        <v/>
      </c>
      <c r="G150" s="16">
        <f>IFERROR(VLOOKUP(C150,'Broker Fees'!$A$4:$G$9,7,0),0)+IF(D150="",0,IFERROR(VLOOKUP(D150,'Broker Fees'!$A$4:$G$9,7,0),0))+IF(E150="",0,IFERROR(VLOOKUP(E150,'Broker Fees'!$A$4:$G$9,7,0),0))</f>
        <v/>
      </c>
      <c r="H15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0" s="18">
        <f>VLOOKUP($A150,'Capital Gains Tax'!$A$4:$D$9,2,0)</f>
        <v/>
      </c>
      <c r="J150" s="18">
        <f>VLOOKUP($A150,'Capital Gains Tax'!$A$4:$D$9,3,0)</f>
        <v/>
      </c>
    </row>
    <row r="151" ht="15" customHeight="1">
      <c r="A151" s="9" t="inlineStr">
        <is>
          <t>UAE</t>
        </is>
      </c>
      <c r="B151" s="9" t="inlineStr">
        <is>
          <t>IBKR+Saxo+XTB</t>
        </is>
      </c>
      <c r="C151" s="15" t="inlineStr">
        <is>
          <t>IBKR</t>
        </is>
      </c>
      <c r="D151" s="15" t="inlineStr">
        <is>
          <t>Saxo</t>
        </is>
      </c>
      <c r="E151" s="15" t="inlineStr">
        <is>
          <t>XTB</t>
        </is>
      </c>
      <c r="F151" s="9">
        <f>IF(OR(IF(C151="","", IFERROR(INDEX('Tax Residency Eligibility'!$B$4:$G$9,MATCH(C151,'Tax Residency Eligibility'!$A$4:$A$9,0),MATCH($A151,'Tax Residency Eligibility'!$B$3:$G$3,0)),"?"))="N",IF(D151="","", IFERROR(INDEX('Tax Residency Eligibility'!$B$4:$G$9,MATCH(D151,'Tax Residency Eligibility'!$A$4:$A$9,0),MATCH($A151,'Tax Residency Eligibility'!$B$3:$G$3,0)),"?"))="N",IF(E151="","", IFERROR(INDEX('Tax Residency Eligibility'!$B$4:$G$9,MATCH(E151,'Tax Residency Eligibility'!$A$4:$A$9,0),MATCH($A151,'Tax Residency Eligibility'!$B$3:$G$3,0)),"?"))="N"),"No",IF(OR(IF(C151="","", IFERROR(INDEX('Tax Residency Eligibility'!$B$4:$G$9,MATCH(C151,'Tax Residency Eligibility'!$A$4:$A$9,0),MATCH($A151,'Tax Residency Eligibility'!$B$3:$G$3,0)),"?"))="Check",IF(D151="","", IFERROR(INDEX('Tax Residency Eligibility'!$B$4:$G$9,MATCH(D151,'Tax Residency Eligibility'!$A$4:$A$9,0),MATCH($A151,'Tax Residency Eligibility'!$B$3:$G$3,0)),"?"))="Check",IF(E151="","", IFERROR(INDEX('Tax Residency Eligibility'!$B$4:$G$9,MATCH(E151,'Tax Residency Eligibility'!$A$4:$A$9,0),MATCH($A151,'Tax Residency Eligibility'!$B$3:$G$3,0)),"?"))="Check"),"Check directly","Yes"))</f>
        <v/>
      </c>
      <c r="G151" s="16">
        <f>IFERROR(VLOOKUP(C151,'Broker Fees'!$A$4:$G$9,7,0),0)+IF(D151="",0,IFERROR(VLOOKUP(D151,'Broker Fees'!$A$4:$G$9,7,0),0))+IF(E151="",0,IFERROR(VLOOKUP(E151,'Broker Fees'!$A$4:$G$9,7,0),0))</f>
        <v/>
      </c>
      <c r="H15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1" s="18">
        <f>VLOOKUP($A151,'Capital Gains Tax'!$A$4:$D$9,2,0)</f>
        <v/>
      </c>
      <c r="J151" s="18">
        <f>VLOOKUP($A151,'Capital Gains Tax'!$A$4:$D$9,3,0)</f>
        <v/>
      </c>
    </row>
    <row r="152" ht="15" customHeight="1">
      <c r="A152" s="9" t="inlineStr">
        <is>
          <t>UAE</t>
        </is>
      </c>
      <c r="B152" s="9" t="inlineStr">
        <is>
          <t>IBKR+Wio+Exante</t>
        </is>
      </c>
      <c r="C152" s="15" t="inlineStr">
        <is>
          <t>IBKR</t>
        </is>
      </c>
      <c r="D152" s="15" t="inlineStr">
        <is>
          <t>Wio</t>
        </is>
      </c>
      <c r="E152" s="15" t="inlineStr">
        <is>
          <t>Exante</t>
        </is>
      </c>
      <c r="F152" s="9">
        <f>IF(OR(IF(C152="","", IFERROR(INDEX('Tax Residency Eligibility'!$B$4:$G$9,MATCH(C152,'Tax Residency Eligibility'!$A$4:$A$9,0),MATCH($A152,'Tax Residency Eligibility'!$B$3:$G$3,0)),"?"))="N",IF(D152="","", IFERROR(INDEX('Tax Residency Eligibility'!$B$4:$G$9,MATCH(D152,'Tax Residency Eligibility'!$A$4:$A$9,0),MATCH($A152,'Tax Residency Eligibility'!$B$3:$G$3,0)),"?"))="N",IF(E152="","", IFERROR(INDEX('Tax Residency Eligibility'!$B$4:$G$9,MATCH(E152,'Tax Residency Eligibility'!$A$4:$A$9,0),MATCH($A152,'Tax Residency Eligibility'!$B$3:$G$3,0)),"?"))="N"),"No",IF(OR(IF(C152="","", IFERROR(INDEX('Tax Residency Eligibility'!$B$4:$G$9,MATCH(C152,'Tax Residency Eligibility'!$A$4:$A$9,0),MATCH($A152,'Tax Residency Eligibility'!$B$3:$G$3,0)),"?"))="Check",IF(D152="","", IFERROR(INDEX('Tax Residency Eligibility'!$B$4:$G$9,MATCH(D152,'Tax Residency Eligibility'!$A$4:$A$9,0),MATCH($A152,'Tax Residency Eligibility'!$B$3:$G$3,0)),"?"))="Check",IF(E152="","", IFERROR(INDEX('Tax Residency Eligibility'!$B$4:$G$9,MATCH(E152,'Tax Residency Eligibility'!$A$4:$A$9,0),MATCH($A152,'Tax Residency Eligibility'!$B$3:$G$3,0)),"?"))="Check"),"Check directly","Yes"))</f>
        <v/>
      </c>
      <c r="G152" s="16">
        <f>IFERROR(VLOOKUP(C152,'Broker Fees'!$A$4:$G$9,7,0),0)+IF(D152="",0,IFERROR(VLOOKUP(D152,'Broker Fees'!$A$4:$G$9,7,0),0))+IF(E152="",0,IFERROR(VLOOKUP(E152,'Broker Fees'!$A$4:$G$9,7,0),0))</f>
        <v/>
      </c>
      <c r="H15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2" s="18">
        <f>VLOOKUP($A152,'Capital Gains Tax'!$A$4:$D$9,2,0)</f>
        <v/>
      </c>
      <c r="J152" s="18">
        <f>VLOOKUP($A152,'Capital Gains Tax'!$A$4:$D$9,3,0)</f>
        <v/>
      </c>
    </row>
    <row r="153" ht="15" customHeight="1">
      <c r="A153" s="9" t="inlineStr">
        <is>
          <t>UAE</t>
        </is>
      </c>
      <c r="B153" s="9" t="inlineStr">
        <is>
          <t>IBKR+Wio+Swissquote</t>
        </is>
      </c>
      <c r="C153" s="15" t="inlineStr">
        <is>
          <t>IBKR</t>
        </is>
      </c>
      <c r="D153" s="15" t="inlineStr">
        <is>
          <t>Wio</t>
        </is>
      </c>
      <c r="E153" s="15" t="inlineStr">
        <is>
          <t>Swissquote</t>
        </is>
      </c>
      <c r="F153" s="9">
        <f>IF(OR(IF(C153="","", IFERROR(INDEX('Tax Residency Eligibility'!$B$4:$G$9,MATCH(C153,'Tax Residency Eligibility'!$A$4:$A$9,0),MATCH($A153,'Tax Residency Eligibility'!$B$3:$G$3,0)),"?"))="N",IF(D153="","", IFERROR(INDEX('Tax Residency Eligibility'!$B$4:$G$9,MATCH(D153,'Tax Residency Eligibility'!$A$4:$A$9,0),MATCH($A153,'Tax Residency Eligibility'!$B$3:$G$3,0)),"?"))="N",IF(E153="","", IFERROR(INDEX('Tax Residency Eligibility'!$B$4:$G$9,MATCH(E153,'Tax Residency Eligibility'!$A$4:$A$9,0),MATCH($A153,'Tax Residency Eligibility'!$B$3:$G$3,0)),"?"))="N"),"No",IF(OR(IF(C153="","", IFERROR(INDEX('Tax Residency Eligibility'!$B$4:$G$9,MATCH(C153,'Tax Residency Eligibility'!$A$4:$A$9,0),MATCH($A153,'Tax Residency Eligibility'!$B$3:$G$3,0)),"?"))="Check",IF(D153="","", IFERROR(INDEX('Tax Residency Eligibility'!$B$4:$G$9,MATCH(D153,'Tax Residency Eligibility'!$A$4:$A$9,0),MATCH($A153,'Tax Residency Eligibility'!$B$3:$G$3,0)),"?"))="Check",IF(E153="","", IFERROR(INDEX('Tax Residency Eligibility'!$B$4:$G$9,MATCH(E153,'Tax Residency Eligibility'!$A$4:$A$9,0),MATCH($A153,'Tax Residency Eligibility'!$B$3:$G$3,0)),"?"))="Check"),"Check directly","Yes"))</f>
        <v/>
      </c>
      <c r="G153" s="16">
        <f>IFERROR(VLOOKUP(C153,'Broker Fees'!$A$4:$G$9,7,0),0)+IF(D153="",0,IFERROR(VLOOKUP(D153,'Broker Fees'!$A$4:$G$9,7,0),0))+IF(E153="",0,IFERROR(VLOOKUP(E153,'Broker Fees'!$A$4:$G$9,7,0),0))</f>
        <v/>
      </c>
      <c r="H15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3" s="18">
        <f>VLOOKUP($A153,'Capital Gains Tax'!$A$4:$D$9,2,0)</f>
        <v/>
      </c>
      <c r="J153" s="18">
        <f>VLOOKUP($A153,'Capital Gains Tax'!$A$4:$D$9,3,0)</f>
        <v/>
      </c>
    </row>
    <row r="154" ht="15" customHeight="1">
      <c r="A154" s="9" t="inlineStr">
        <is>
          <t>UAE</t>
        </is>
      </c>
      <c r="B154" s="9" t="inlineStr">
        <is>
          <t>IBKR+Wio+XTB</t>
        </is>
      </c>
      <c r="C154" s="15" t="inlineStr">
        <is>
          <t>IBKR</t>
        </is>
      </c>
      <c r="D154" s="15" t="inlineStr">
        <is>
          <t>Wio</t>
        </is>
      </c>
      <c r="E154" s="15" t="inlineStr">
        <is>
          <t>XTB</t>
        </is>
      </c>
      <c r="F154" s="9">
        <f>IF(OR(IF(C154="","", IFERROR(INDEX('Tax Residency Eligibility'!$B$4:$G$9,MATCH(C154,'Tax Residency Eligibility'!$A$4:$A$9,0),MATCH($A154,'Tax Residency Eligibility'!$B$3:$G$3,0)),"?"))="N",IF(D154="","", IFERROR(INDEX('Tax Residency Eligibility'!$B$4:$G$9,MATCH(D154,'Tax Residency Eligibility'!$A$4:$A$9,0),MATCH($A154,'Tax Residency Eligibility'!$B$3:$G$3,0)),"?"))="N",IF(E154="","", IFERROR(INDEX('Tax Residency Eligibility'!$B$4:$G$9,MATCH(E154,'Tax Residency Eligibility'!$A$4:$A$9,0),MATCH($A154,'Tax Residency Eligibility'!$B$3:$G$3,0)),"?"))="N"),"No",IF(OR(IF(C154="","", IFERROR(INDEX('Tax Residency Eligibility'!$B$4:$G$9,MATCH(C154,'Tax Residency Eligibility'!$A$4:$A$9,0),MATCH($A154,'Tax Residency Eligibility'!$B$3:$G$3,0)),"?"))="Check",IF(D154="","", IFERROR(INDEX('Tax Residency Eligibility'!$B$4:$G$9,MATCH(D154,'Tax Residency Eligibility'!$A$4:$A$9,0),MATCH($A154,'Tax Residency Eligibility'!$B$3:$G$3,0)),"?"))="Check",IF(E154="","", IFERROR(INDEX('Tax Residency Eligibility'!$B$4:$G$9,MATCH(E154,'Tax Residency Eligibility'!$A$4:$A$9,0),MATCH($A154,'Tax Residency Eligibility'!$B$3:$G$3,0)),"?"))="Check"),"Check directly","Yes"))</f>
        <v/>
      </c>
      <c r="G154" s="16">
        <f>IFERROR(VLOOKUP(C154,'Broker Fees'!$A$4:$G$9,7,0),0)+IF(D154="",0,IFERROR(VLOOKUP(D154,'Broker Fees'!$A$4:$G$9,7,0),0))+IF(E154="",0,IFERROR(VLOOKUP(E154,'Broker Fees'!$A$4:$G$9,7,0),0))</f>
        <v/>
      </c>
      <c r="H15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4" s="18">
        <f>VLOOKUP($A154,'Capital Gains Tax'!$A$4:$D$9,2,0)</f>
        <v/>
      </c>
      <c r="J154" s="18">
        <f>VLOOKUP($A154,'Capital Gains Tax'!$A$4:$D$9,3,0)</f>
        <v/>
      </c>
    </row>
    <row r="155" ht="15" customHeight="1">
      <c r="A155" s="9" t="inlineStr">
        <is>
          <t>UAE</t>
        </is>
      </c>
      <c r="B155" s="9" t="inlineStr">
        <is>
          <t>IBKR+Exante+Swissquote</t>
        </is>
      </c>
      <c r="C155" s="15" t="inlineStr">
        <is>
          <t>IBKR</t>
        </is>
      </c>
      <c r="D155" s="15" t="inlineStr">
        <is>
          <t>Exante</t>
        </is>
      </c>
      <c r="E155" s="15" t="inlineStr">
        <is>
          <t>Swissquote</t>
        </is>
      </c>
      <c r="F155" s="9">
        <f>IF(OR(IF(C155="","", IFERROR(INDEX('Tax Residency Eligibility'!$B$4:$G$9,MATCH(C155,'Tax Residency Eligibility'!$A$4:$A$9,0),MATCH($A155,'Tax Residency Eligibility'!$B$3:$G$3,0)),"?"))="N",IF(D155="","", IFERROR(INDEX('Tax Residency Eligibility'!$B$4:$G$9,MATCH(D155,'Tax Residency Eligibility'!$A$4:$A$9,0),MATCH($A155,'Tax Residency Eligibility'!$B$3:$G$3,0)),"?"))="N",IF(E155="","", IFERROR(INDEX('Tax Residency Eligibility'!$B$4:$G$9,MATCH(E155,'Tax Residency Eligibility'!$A$4:$A$9,0),MATCH($A155,'Tax Residency Eligibility'!$B$3:$G$3,0)),"?"))="N"),"No",IF(OR(IF(C155="","", IFERROR(INDEX('Tax Residency Eligibility'!$B$4:$G$9,MATCH(C155,'Tax Residency Eligibility'!$A$4:$A$9,0),MATCH($A155,'Tax Residency Eligibility'!$B$3:$G$3,0)),"?"))="Check",IF(D155="","", IFERROR(INDEX('Tax Residency Eligibility'!$B$4:$G$9,MATCH(D155,'Tax Residency Eligibility'!$A$4:$A$9,0),MATCH($A155,'Tax Residency Eligibility'!$B$3:$G$3,0)),"?"))="Check",IF(E155="","", IFERROR(INDEX('Tax Residency Eligibility'!$B$4:$G$9,MATCH(E155,'Tax Residency Eligibility'!$A$4:$A$9,0),MATCH($A155,'Tax Residency Eligibility'!$B$3:$G$3,0)),"?"))="Check"),"Check directly","Yes"))</f>
        <v/>
      </c>
      <c r="G155" s="16">
        <f>IFERROR(VLOOKUP(C155,'Broker Fees'!$A$4:$G$9,7,0),0)+IF(D155="",0,IFERROR(VLOOKUP(D155,'Broker Fees'!$A$4:$G$9,7,0),0))+IF(E155="",0,IFERROR(VLOOKUP(E155,'Broker Fees'!$A$4:$G$9,7,0),0))</f>
        <v/>
      </c>
      <c r="H15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5" s="18">
        <f>VLOOKUP($A155,'Capital Gains Tax'!$A$4:$D$9,2,0)</f>
        <v/>
      </c>
      <c r="J155" s="18">
        <f>VLOOKUP($A155,'Capital Gains Tax'!$A$4:$D$9,3,0)</f>
        <v/>
      </c>
    </row>
    <row r="156" ht="15" customHeight="1">
      <c r="A156" s="9" t="inlineStr">
        <is>
          <t>UAE</t>
        </is>
      </c>
      <c r="B156" s="9" t="inlineStr">
        <is>
          <t>IBKR+Exante+XTB</t>
        </is>
      </c>
      <c r="C156" s="15" t="inlineStr">
        <is>
          <t>IBKR</t>
        </is>
      </c>
      <c r="D156" s="15" t="inlineStr">
        <is>
          <t>Exante</t>
        </is>
      </c>
      <c r="E156" s="15" t="inlineStr">
        <is>
          <t>XTB</t>
        </is>
      </c>
      <c r="F156" s="9">
        <f>IF(OR(IF(C156="","", IFERROR(INDEX('Tax Residency Eligibility'!$B$4:$G$9,MATCH(C156,'Tax Residency Eligibility'!$A$4:$A$9,0),MATCH($A156,'Tax Residency Eligibility'!$B$3:$G$3,0)),"?"))="N",IF(D156="","", IFERROR(INDEX('Tax Residency Eligibility'!$B$4:$G$9,MATCH(D156,'Tax Residency Eligibility'!$A$4:$A$9,0),MATCH($A156,'Tax Residency Eligibility'!$B$3:$G$3,0)),"?"))="N",IF(E156="","", IFERROR(INDEX('Tax Residency Eligibility'!$B$4:$G$9,MATCH(E156,'Tax Residency Eligibility'!$A$4:$A$9,0),MATCH($A156,'Tax Residency Eligibility'!$B$3:$G$3,0)),"?"))="N"),"No",IF(OR(IF(C156="","", IFERROR(INDEX('Tax Residency Eligibility'!$B$4:$G$9,MATCH(C156,'Tax Residency Eligibility'!$A$4:$A$9,0),MATCH($A156,'Tax Residency Eligibility'!$B$3:$G$3,0)),"?"))="Check",IF(D156="","", IFERROR(INDEX('Tax Residency Eligibility'!$B$4:$G$9,MATCH(D156,'Tax Residency Eligibility'!$A$4:$A$9,0),MATCH($A156,'Tax Residency Eligibility'!$B$3:$G$3,0)),"?"))="Check",IF(E156="","", IFERROR(INDEX('Tax Residency Eligibility'!$B$4:$G$9,MATCH(E156,'Tax Residency Eligibility'!$A$4:$A$9,0),MATCH($A156,'Tax Residency Eligibility'!$B$3:$G$3,0)),"?"))="Check"),"Check directly","Yes"))</f>
        <v/>
      </c>
      <c r="G156" s="16">
        <f>IFERROR(VLOOKUP(C156,'Broker Fees'!$A$4:$G$9,7,0),0)+IF(D156="",0,IFERROR(VLOOKUP(D156,'Broker Fees'!$A$4:$G$9,7,0),0))+IF(E156="",0,IFERROR(VLOOKUP(E156,'Broker Fees'!$A$4:$G$9,7,0),0))</f>
        <v/>
      </c>
      <c r="H15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6" s="18">
        <f>VLOOKUP($A156,'Capital Gains Tax'!$A$4:$D$9,2,0)</f>
        <v/>
      </c>
      <c r="J156" s="18">
        <f>VLOOKUP($A156,'Capital Gains Tax'!$A$4:$D$9,3,0)</f>
        <v/>
      </c>
    </row>
    <row r="157" ht="15" customHeight="1">
      <c r="A157" s="9" t="inlineStr">
        <is>
          <t>UAE</t>
        </is>
      </c>
      <c r="B157" s="9" t="inlineStr">
        <is>
          <t>IBKR+Swissquote+XTB</t>
        </is>
      </c>
      <c r="C157" s="15" t="inlineStr">
        <is>
          <t>IBKR</t>
        </is>
      </c>
      <c r="D157" s="15" t="inlineStr">
        <is>
          <t>Swissquote</t>
        </is>
      </c>
      <c r="E157" s="15" t="inlineStr">
        <is>
          <t>XTB</t>
        </is>
      </c>
      <c r="F157" s="9">
        <f>IF(OR(IF(C157="","", IFERROR(INDEX('Tax Residency Eligibility'!$B$4:$G$9,MATCH(C157,'Tax Residency Eligibility'!$A$4:$A$9,0),MATCH($A157,'Tax Residency Eligibility'!$B$3:$G$3,0)),"?"))="N",IF(D157="","", IFERROR(INDEX('Tax Residency Eligibility'!$B$4:$G$9,MATCH(D157,'Tax Residency Eligibility'!$A$4:$A$9,0),MATCH($A157,'Tax Residency Eligibility'!$B$3:$G$3,0)),"?"))="N",IF(E157="","", IFERROR(INDEX('Tax Residency Eligibility'!$B$4:$G$9,MATCH(E157,'Tax Residency Eligibility'!$A$4:$A$9,0),MATCH($A157,'Tax Residency Eligibility'!$B$3:$G$3,0)),"?"))="N"),"No",IF(OR(IF(C157="","", IFERROR(INDEX('Tax Residency Eligibility'!$B$4:$G$9,MATCH(C157,'Tax Residency Eligibility'!$A$4:$A$9,0),MATCH($A157,'Tax Residency Eligibility'!$B$3:$G$3,0)),"?"))="Check",IF(D157="","", IFERROR(INDEX('Tax Residency Eligibility'!$B$4:$G$9,MATCH(D157,'Tax Residency Eligibility'!$A$4:$A$9,0),MATCH($A157,'Tax Residency Eligibility'!$B$3:$G$3,0)),"?"))="Check",IF(E157="","", IFERROR(INDEX('Tax Residency Eligibility'!$B$4:$G$9,MATCH(E157,'Tax Residency Eligibility'!$A$4:$A$9,0),MATCH($A157,'Tax Residency Eligibility'!$B$3:$G$3,0)),"?"))="Check"),"Check directly","Yes"))</f>
        <v/>
      </c>
      <c r="G157" s="16">
        <f>IFERROR(VLOOKUP(C157,'Broker Fees'!$A$4:$G$9,7,0),0)+IF(D157="",0,IFERROR(VLOOKUP(D157,'Broker Fees'!$A$4:$G$9,7,0),0))+IF(E157="",0,IFERROR(VLOOKUP(E157,'Broker Fees'!$A$4:$G$9,7,0),0))</f>
        <v/>
      </c>
      <c r="H15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7" s="18">
        <f>VLOOKUP($A157,'Capital Gains Tax'!$A$4:$D$9,2,0)</f>
        <v/>
      </c>
      <c r="J157" s="18">
        <f>VLOOKUP($A157,'Capital Gains Tax'!$A$4:$D$9,3,0)</f>
        <v/>
      </c>
    </row>
    <row r="158" ht="15" customHeight="1">
      <c r="A158" s="9" t="inlineStr">
        <is>
          <t>UAE</t>
        </is>
      </c>
      <c r="B158" s="9" t="inlineStr">
        <is>
          <t>Saxo+Wio+Exante</t>
        </is>
      </c>
      <c r="C158" s="15" t="inlineStr">
        <is>
          <t>Saxo</t>
        </is>
      </c>
      <c r="D158" s="15" t="inlineStr">
        <is>
          <t>Wio</t>
        </is>
      </c>
      <c r="E158" s="15" t="inlineStr">
        <is>
          <t>Exante</t>
        </is>
      </c>
      <c r="F158" s="9">
        <f>IF(OR(IF(C158="","", IFERROR(INDEX('Tax Residency Eligibility'!$B$4:$G$9,MATCH(C158,'Tax Residency Eligibility'!$A$4:$A$9,0),MATCH($A158,'Tax Residency Eligibility'!$B$3:$G$3,0)),"?"))="N",IF(D158="","", IFERROR(INDEX('Tax Residency Eligibility'!$B$4:$G$9,MATCH(D158,'Tax Residency Eligibility'!$A$4:$A$9,0),MATCH($A158,'Tax Residency Eligibility'!$B$3:$G$3,0)),"?"))="N",IF(E158="","", IFERROR(INDEX('Tax Residency Eligibility'!$B$4:$G$9,MATCH(E158,'Tax Residency Eligibility'!$A$4:$A$9,0),MATCH($A158,'Tax Residency Eligibility'!$B$3:$G$3,0)),"?"))="N"),"No",IF(OR(IF(C158="","", IFERROR(INDEX('Tax Residency Eligibility'!$B$4:$G$9,MATCH(C158,'Tax Residency Eligibility'!$A$4:$A$9,0),MATCH($A158,'Tax Residency Eligibility'!$B$3:$G$3,0)),"?"))="Check",IF(D158="","", IFERROR(INDEX('Tax Residency Eligibility'!$B$4:$G$9,MATCH(D158,'Tax Residency Eligibility'!$A$4:$A$9,0),MATCH($A158,'Tax Residency Eligibility'!$B$3:$G$3,0)),"?"))="Check",IF(E158="","", IFERROR(INDEX('Tax Residency Eligibility'!$B$4:$G$9,MATCH(E158,'Tax Residency Eligibility'!$A$4:$A$9,0),MATCH($A158,'Tax Residency Eligibility'!$B$3:$G$3,0)),"?"))="Check"),"Check directly","Yes"))</f>
        <v/>
      </c>
      <c r="G158" s="16">
        <f>IFERROR(VLOOKUP(C158,'Broker Fees'!$A$4:$G$9,7,0),0)+IF(D158="",0,IFERROR(VLOOKUP(D158,'Broker Fees'!$A$4:$G$9,7,0),0))+IF(E158="",0,IFERROR(VLOOKUP(E158,'Broker Fees'!$A$4:$G$9,7,0),0))</f>
        <v/>
      </c>
      <c r="H15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8" s="18">
        <f>VLOOKUP($A158,'Capital Gains Tax'!$A$4:$D$9,2,0)</f>
        <v/>
      </c>
      <c r="J158" s="18">
        <f>VLOOKUP($A158,'Capital Gains Tax'!$A$4:$D$9,3,0)</f>
        <v/>
      </c>
    </row>
    <row r="159" ht="15" customHeight="1">
      <c r="A159" s="9" t="inlineStr">
        <is>
          <t>UAE</t>
        </is>
      </c>
      <c r="B159" s="9" t="inlineStr">
        <is>
          <t>Saxo+Wio+Swissquote</t>
        </is>
      </c>
      <c r="C159" s="15" t="inlineStr">
        <is>
          <t>Saxo</t>
        </is>
      </c>
      <c r="D159" s="15" t="inlineStr">
        <is>
          <t>Wio</t>
        </is>
      </c>
      <c r="E159" s="15" t="inlineStr">
        <is>
          <t>Swissquote</t>
        </is>
      </c>
      <c r="F159" s="9">
        <f>IF(OR(IF(C159="","", IFERROR(INDEX('Tax Residency Eligibility'!$B$4:$G$9,MATCH(C159,'Tax Residency Eligibility'!$A$4:$A$9,0),MATCH($A159,'Tax Residency Eligibility'!$B$3:$G$3,0)),"?"))="N",IF(D159="","", IFERROR(INDEX('Tax Residency Eligibility'!$B$4:$G$9,MATCH(D159,'Tax Residency Eligibility'!$A$4:$A$9,0),MATCH($A159,'Tax Residency Eligibility'!$B$3:$G$3,0)),"?"))="N",IF(E159="","", IFERROR(INDEX('Tax Residency Eligibility'!$B$4:$G$9,MATCH(E159,'Tax Residency Eligibility'!$A$4:$A$9,0),MATCH($A159,'Tax Residency Eligibility'!$B$3:$G$3,0)),"?"))="N"),"No",IF(OR(IF(C159="","", IFERROR(INDEX('Tax Residency Eligibility'!$B$4:$G$9,MATCH(C159,'Tax Residency Eligibility'!$A$4:$A$9,0),MATCH($A159,'Tax Residency Eligibility'!$B$3:$G$3,0)),"?"))="Check",IF(D159="","", IFERROR(INDEX('Tax Residency Eligibility'!$B$4:$G$9,MATCH(D159,'Tax Residency Eligibility'!$A$4:$A$9,0),MATCH($A159,'Tax Residency Eligibility'!$B$3:$G$3,0)),"?"))="Check",IF(E159="","", IFERROR(INDEX('Tax Residency Eligibility'!$B$4:$G$9,MATCH(E159,'Tax Residency Eligibility'!$A$4:$A$9,0),MATCH($A159,'Tax Residency Eligibility'!$B$3:$G$3,0)),"?"))="Check"),"Check directly","Yes"))</f>
        <v/>
      </c>
      <c r="G159" s="16">
        <f>IFERROR(VLOOKUP(C159,'Broker Fees'!$A$4:$G$9,7,0),0)+IF(D159="",0,IFERROR(VLOOKUP(D159,'Broker Fees'!$A$4:$G$9,7,0),0))+IF(E159="",0,IFERROR(VLOOKUP(E159,'Broker Fees'!$A$4:$G$9,7,0),0))</f>
        <v/>
      </c>
      <c r="H15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59" s="18">
        <f>VLOOKUP($A159,'Capital Gains Tax'!$A$4:$D$9,2,0)</f>
        <v/>
      </c>
      <c r="J159" s="18">
        <f>VLOOKUP($A159,'Capital Gains Tax'!$A$4:$D$9,3,0)</f>
        <v/>
      </c>
    </row>
    <row r="160" ht="15" customHeight="1">
      <c r="A160" s="9" t="inlineStr">
        <is>
          <t>UAE</t>
        </is>
      </c>
      <c r="B160" s="9" t="inlineStr">
        <is>
          <t>Saxo+Wio+XTB</t>
        </is>
      </c>
      <c r="C160" s="15" t="inlineStr">
        <is>
          <t>Saxo</t>
        </is>
      </c>
      <c r="D160" s="15" t="inlineStr">
        <is>
          <t>Wio</t>
        </is>
      </c>
      <c r="E160" s="15" t="inlineStr">
        <is>
          <t>XTB</t>
        </is>
      </c>
      <c r="F160" s="9">
        <f>IF(OR(IF(C160="","", IFERROR(INDEX('Tax Residency Eligibility'!$B$4:$G$9,MATCH(C160,'Tax Residency Eligibility'!$A$4:$A$9,0),MATCH($A160,'Tax Residency Eligibility'!$B$3:$G$3,0)),"?"))="N",IF(D160="","", IFERROR(INDEX('Tax Residency Eligibility'!$B$4:$G$9,MATCH(D160,'Tax Residency Eligibility'!$A$4:$A$9,0),MATCH($A160,'Tax Residency Eligibility'!$B$3:$G$3,0)),"?"))="N",IF(E160="","", IFERROR(INDEX('Tax Residency Eligibility'!$B$4:$G$9,MATCH(E160,'Tax Residency Eligibility'!$A$4:$A$9,0),MATCH($A160,'Tax Residency Eligibility'!$B$3:$G$3,0)),"?"))="N"),"No",IF(OR(IF(C160="","", IFERROR(INDEX('Tax Residency Eligibility'!$B$4:$G$9,MATCH(C160,'Tax Residency Eligibility'!$A$4:$A$9,0),MATCH($A160,'Tax Residency Eligibility'!$B$3:$G$3,0)),"?"))="Check",IF(D160="","", IFERROR(INDEX('Tax Residency Eligibility'!$B$4:$G$9,MATCH(D160,'Tax Residency Eligibility'!$A$4:$A$9,0),MATCH($A160,'Tax Residency Eligibility'!$B$3:$G$3,0)),"?"))="Check",IF(E160="","", IFERROR(INDEX('Tax Residency Eligibility'!$B$4:$G$9,MATCH(E160,'Tax Residency Eligibility'!$A$4:$A$9,0),MATCH($A160,'Tax Residency Eligibility'!$B$3:$G$3,0)),"?"))="Check"),"Check directly","Yes"))</f>
        <v/>
      </c>
      <c r="G160" s="16">
        <f>IFERROR(VLOOKUP(C160,'Broker Fees'!$A$4:$G$9,7,0),0)+IF(D160="",0,IFERROR(VLOOKUP(D160,'Broker Fees'!$A$4:$G$9,7,0),0))+IF(E160="",0,IFERROR(VLOOKUP(E160,'Broker Fees'!$A$4:$G$9,7,0),0))</f>
        <v/>
      </c>
      <c r="H16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0" s="18">
        <f>VLOOKUP($A160,'Capital Gains Tax'!$A$4:$D$9,2,0)</f>
        <v/>
      </c>
      <c r="J160" s="18">
        <f>VLOOKUP($A160,'Capital Gains Tax'!$A$4:$D$9,3,0)</f>
        <v/>
      </c>
    </row>
    <row r="161" ht="15" customHeight="1">
      <c r="A161" s="9" t="inlineStr">
        <is>
          <t>UAE</t>
        </is>
      </c>
      <c r="B161" s="9" t="inlineStr">
        <is>
          <t>Saxo+Exante+Swissquote</t>
        </is>
      </c>
      <c r="C161" s="15" t="inlineStr">
        <is>
          <t>Saxo</t>
        </is>
      </c>
      <c r="D161" s="15" t="inlineStr">
        <is>
          <t>Exante</t>
        </is>
      </c>
      <c r="E161" s="15" t="inlineStr">
        <is>
          <t>Swissquote</t>
        </is>
      </c>
      <c r="F161" s="9">
        <f>IF(OR(IF(C161="","", IFERROR(INDEX('Tax Residency Eligibility'!$B$4:$G$9,MATCH(C161,'Tax Residency Eligibility'!$A$4:$A$9,0),MATCH($A161,'Tax Residency Eligibility'!$B$3:$G$3,0)),"?"))="N",IF(D161="","", IFERROR(INDEX('Tax Residency Eligibility'!$B$4:$G$9,MATCH(D161,'Tax Residency Eligibility'!$A$4:$A$9,0),MATCH($A161,'Tax Residency Eligibility'!$B$3:$G$3,0)),"?"))="N",IF(E161="","", IFERROR(INDEX('Tax Residency Eligibility'!$B$4:$G$9,MATCH(E161,'Tax Residency Eligibility'!$A$4:$A$9,0),MATCH($A161,'Tax Residency Eligibility'!$B$3:$G$3,0)),"?"))="N"),"No",IF(OR(IF(C161="","", IFERROR(INDEX('Tax Residency Eligibility'!$B$4:$G$9,MATCH(C161,'Tax Residency Eligibility'!$A$4:$A$9,0),MATCH($A161,'Tax Residency Eligibility'!$B$3:$G$3,0)),"?"))="Check",IF(D161="","", IFERROR(INDEX('Tax Residency Eligibility'!$B$4:$G$9,MATCH(D161,'Tax Residency Eligibility'!$A$4:$A$9,0),MATCH($A161,'Tax Residency Eligibility'!$B$3:$G$3,0)),"?"))="Check",IF(E161="","", IFERROR(INDEX('Tax Residency Eligibility'!$B$4:$G$9,MATCH(E161,'Tax Residency Eligibility'!$A$4:$A$9,0),MATCH($A161,'Tax Residency Eligibility'!$B$3:$G$3,0)),"?"))="Check"),"Check directly","Yes"))</f>
        <v/>
      </c>
      <c r="G161" s="16">
        <f>IFERROR(VLOOKUP(C161,'Broker Fees'!$A$4:$G$9,7,0),0)+IF(D161="",0,IFERROR(VLOOKUP(D161,'Broker Fees'!$A$4:$G$9,7,0),0))+IF(E161="",0,IFERROR(VLOOKUP(E161,'Broker Fees'!$A$4:$G$9,7,0),0))</f>
        <v/>
      </c>
      <c r="H16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1" s="18">
        <f>VLOOKUP($A161,'Capital Gains Tax'!$A$4:$D$9,2,0)</f>
        <v/>
      </c>
      <c r="J161" s="18">
        <f>VLOOKUP($A161,'Capital Gains Tax'!$A$4:$D$9,3,0)</f>
        <v/>
      </c>
    </row>
    <row r="162" ht="15" customHeight="1">
      <c r="A162" s="9" t="inlineStr">
        <is>
          <t>UAE</t>
        </is>
      </c>
      <c r="B162" s="9" t="inlineStr">
        <is>
          <t>Saxo+Exante+XTB</t>
        </is>
      </c>
      <c r="C162" s="15" t="inlineStr">
        <is>
          <t>Saxo</t>
        </is>
      </c>
      <c r="D162" s="15" t="inlineStr">
        <is>
          <t>Exante</t>
        </is>
      </c>
      <c r="E162" s="15" t="inlineStr">
        <is>
          <t>XTB</t>
        </is>
      </c>
      <c r="F162" s="9">
        <f>IF(OR(IF(C162="","", IFERROR(INDEX('Tax Residency Eligibility'!$B$4:$G$9,MATCH(C162,'Tax Residency Eligibility'!$A$4:$A$9,0),MATCH($A162,'Tax Residency Eligibility'!$B$3:$G$3,0)),"?"))="N",IF(D162="","", IFERROR(INDEX('Tax Residency Eligibility'!$B$4:$G$9,MATCH(D162,'Tax Residency Eligibility'!$A$4:$A$9,0),MATCH($A162,'Tax Residency Eligibility'!$B$3:$G$3,0)),"?"))="N",IF(E162="","", IFERROR(INDEX('Tax Residency Eligibility'!$B$4:$G$9,MATCH(E162,'Tax Residency Eligibility'!$A$4:$A$9,0),MATCH($A162,'Tax Residency Eligibility'!$B$3:$G$3,0)),"?"))="N"),"No",IF(OR(IF(C162="","", IFERROR(INDEX('Tax Residency Eligibility'!$B$4:$G$9,MATCH(C162,'Tax Residency Eligibility'!$A$4:$A$9,0),MATCH($A162,'Tax Residency Eligibility'!$B$3:$G$3,0)),"?"))="Check",IF(D162="","", IFERROR(INDEX('Tax Residency Eligibility'!$B$4:$G$9,MATCH(D162,'Tax Residency Eligibility'!$A$4:$A$9,0),MATCH($A162,'Tax Residency Eligibility'!$B$3:$G$3,0)),"?"))="Check",IF(E162="","", IFERROR(INDEX('Tax Residency Eligibility'!$B$4:$G$9,MATCH(E162,'Tax Residency Eligibility'!$A$4:$A$9,0),MATCH($A162,'Tax Residency Eligibility'!$B$3:$G$3,0)),"?"))="Check"),"Check directly","Yes"))</f>
        <v/>
      </c>
      <c r="G162" s="16">
        <f>IFERROR(VLOOKUP(C162,'Broker Fees'!$A$4:$G$9,7,0),0)+IF(D162="",0,IFERROR(VLOOKUP(D162,'Broker Fees'!$A$4:$G$9,7,0),0))+IF(E162="",0,IFERROR(VLOOKUP(E162,'Broker Fees'!$A$4:$G$9,7,0),0))</f>
        <v/>
      </c>
      <c r="H16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2" s="18">
        <f>VLOOKUP($A162,'Capital Gains Tax'!$A$4:$D$9,2,0)</f>
        <v/>
      </c>
      <c r="J162" s="18">
        <f>VLOOKUP($A162,'Capital Gains Tax'!$A$4:$D$9,3,0)</f>
        <v/>
      </c>
    </row>
    <row r="163" ht="15" customHeight="1">
      <c r="A163" s="9" t="inlineStr">
        <is>
          <t>UAE</t>
        </is>
      </c>
      <c r="B163" s="9" t="inlineStr">
        <is>
          <t>Saxo+Swissquote+XTB</t>
        </is>
      </c>
      <c r="C163" s="15" t="inlineStr">
        <is>
          <t>Saxo</t>
        </is>
      </c>
      <c r="D163" s="15" t="inlineStr">
        <is>
          <t>Swissquote</t>
        </is>
      </c>
      <c r="E163" s="15" t="inlineStr">
        <is>
          <t>XTB</t>
        </is>
      </c>
      <c r="F163" s="9">
        <f>IF(OR(IF(C163="","", IFERROR(INDEX('Tax Residency Eligibility'!$B$4:$G$9,MATCH(C163,'Tax Residency Eligibility'!$A$4:$A$9,0),MATCH($A163,'Tax Residency Eligibility'!$B$3:$G$3,0)),"?"))="N",IF(D163="","", IFERROR(INDEX('Tax Residency Eligibility'!$B$4:$G$9,MATCH(D163,'Tax Residency Eligibility'!$A$4:$A$9,0),MATCH($A163,'Tax Residency Eligibility'!$B$3:$G$3,0)),"?"))="N",IF(E163="","", IFERROR(INDEX('Tax Residency Eligibility'!$B$4:$G$9,MATCH(E163,'Tax Residency Eligibility'!$A$4:$A$9,0),MATCH($A163,'Tax Residency Eligibility'!$B$3:$G$3,0)),"?"))="N"),"No",IF(OR(IF(C163="","", IFERROR(INDEX('Tax Residency Eligibility'!$B$4:$G$9,MATCH(C163,'Tax Residency Eligibility'!$A$4:$A$9,0),MATCH($A163,'Tax Residency Eligibility'!$B$3:$G$3,0)),"?"))="Check",IF(D163="","", IFERROR(INDEX('Tax Residency Eligibility'!$B$4:$G$9,MATCH(D163,'Tax Residency Eligibility'!$A$4:$A$9,0),MATCH($A163,'Tax Residency Eligibility'!$B$3:$G$3,0)),"?"))="Check",IF(E163="","", IFERROR(INDEX('Tax Residency Eligibility'!$B$4:$G$9,MATCH(E163,'Tax Residency Eligibility'!$A$4:$A$9,0),MATCH($A163,'Tax Residency Eligibility'!$B$3:$G$3,0)),"?"))="Check"),"Check directly","Yes"))</f>
        <v/>
      </c>
      <c r="G163" s="16">
        <f>IFERROR(VLOOKUP(C163,'Broker Fees'!$A$4:$G$9,7,0),0)+IF(D163="",0,IFERROR(VLOOKUP(D163,'Broker Fees'!$A$4:$G$9,7,0),0))+IF(E163="",0,IFERROR(VLOOKUP(E163,'Broker Fees'!$A$4:$G$9,7,0),0))</f>
        <v/>
      </c>
      <c r="H16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3" s="18">
        <f>VLOOKUP($A163,'Capital Gains Tax'!$A$4:$D$9,2,0)</f>
        <v/>
      </c>
      <c r="J163" s="18">
        <f>VLOOKUP($A163,'Capital Gains Tax'!$A$4:$D$9,3,0)</f>
        <v/>
      </c>
    </row>
    <row r="164" ht="15" customHeight="1">
      <c r="A164" s="9" t="inlineStr">
        <is>
          <t>UAE</t>
        </is>
      </c>
      <c r="B164" s="9" t="inlineStr">
        <is>
          <t>Wio+Exante+Swissquote</t>
        </is>
      </c>
      <c r="C164" s="15" t="inlineStr">
        <is>
          <t>Wio</t>
        </is>
      </c>
      <c r="D164" s="15" t="inlineStr">
        <is>
          <t>Exante</t>
        </is>
      </c>
      <c r="E164" s="15" t="inlineStr">
        <is>
          <t>Swissquote</t>
        </is>
      </c>
      <c r="F164" s="9">
        <f>IF(OR(IF(C164="","", IFERROR(INDEX('Tax Residency Eligibility'!$B$4:$G$9,MATCH(C164,'Tax Residency Eligibility'!$A$4:$A$9,0),MATCH($A164,'Tax Residency Eligibility'!$B$3:$G$3,0)),"?"))="N",IF(D164="","", IFERROR(INDEX('Tax Residency Eligibility'!$B$4:$G$9,MATCH(D164,'Tax Residency Eligibility'!$A$4:$A$9,0),MATCH($A164,'Tax Residency Eligibility'!$B$3:$G$3,0)),"?"))="N",IF(E164="","", IFERROR(INDEX('Tax Residency Eligibility'!$B$4:$G$9,MATCH(E164,'Tax Residency Eligibility'!$A$4:$A$9,0),MATCH($A164,'Tax Residency Eligibility'!$B$3:$G$3,0)),"?"))="N"),"No",IF(OR(IF(C164="","", IFERROR(INDEX('Tax Residency Eligibility'!$B$4:$G$9,MATCH(C164,'Tax Residency Eligibility'!$A$4:$A$9,0),MATCH($A164,'Tax Residency Eligibility'!$B$3:$G$3,0)),"?"))="Check",IF(D164="","", IFERROR(INDEX('Tax Residency Eligibility'!$B$4:$G$9,MATCH(D164,'Tax Residency Eligibility'!$A$4:$A$9,0),MATCH($A164,'Tax Residency Eligibility'!$B$3:$G$3,0)),"?"))="Check",IF(E164="","", IFERROR(INDEX('Tax Residency Eligibility'!$B$4:$G$9,MATCH(E164,'Tax Residency Eligibility'!$A$4:$A$9,0),MATCH($A164,'Tax Residency Eligibility'!$B$3:$G$3,0)),"?"))="Check"),"Check directly","Yes"))</f>
        <v/>
      </c>
      <c r="G164" s="16">
        <f>IFERROR(VLOOKUP(C164,'Broker Fees'!$A$4:$G$9,7,0),0)+IF(D164="",0,IFERROR(VLOOKUP(D164,'Broker Fees'!$A$4:$G$9,7,0),0))+IF(E164="",0,IFERROR(VLOOKUP(E164,'Broker Fees'!$A$4:$G$9,7,0),0))</f>
        <v/>
      </c>
      <c r="H16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4" s="18">
        <f>VLOOKUP($A164,'Capital Gains Tax'!$A$4:$D$9,2,0)</f>
        <v/>
      </c>
      <c r="J164" s="18">
        <f>VLOOKUP($A164,'Capital Gains Tax'!$A$4:$D$9,3,0)</f>
        <v/>
      </c>
    </row>
    <row r="165" ht="15" customHeight="1">
      <c r="A165" s="9" t="inlineStr">
        <is>
          <t>UAE</t>
        </is>
      </c>
      <c r="B165" s="9" t="inlineStr">
        <is>
          <t>Wio+Exante+XTB</t>
        </is>
      </c>
      <c r="C165" s="15" t="inlineStr">
        <is>
          <t>Wio</t>
        </is>
      </c>
      <c r="D165" s="15" t="inlineStr">
        <is>
          <t>Exante</t>
        </is>
      </c>
      <c r="E165" s="15" t="inlineStr">
        <is>
          <t>XTB</t>
        </is>
      </c>
      <c r="F165" s="9">
        <f>IF(OR(IF(C165="","", IFERROR(INDEX('Tax Residency Eligibility'!$B$4:$G$9,MATCH(C165,'Tax Residency Eligibility'!$A$4:$A$9,0),MATCH($A165,'Tax Residency Eligibility'!$B$3:$G$3,0)),"?"))="N",IF(D165="","", IFERROR(INDEX('Tax Residency Eligibility'!$B$4:$G$9,MATCH(D165,'Tax Residency Eligibility'!$A$4:$A$9,0),MATCH($A165,'Tax Residency Eligibility'!$B$3:$G$3,0)),"?"))="N",IF(E165="","", IFERROR(INDEX('Tax Residency Eligibility'!$B$4:$G$9,MATCH(E165,'Tax Residency Eligibility'!$A$4:$A$9,0),MATCH($A165,'Tax Residency Eligibility'!$B$3:$G$3,0)),"?"))="N"),"No",IF(OR(IF(C165="","", IFERROR(INDEX('Tax Residency Eligibility'!$B$4:$G$9,MATCH(C165,'Tax Residency Eligibility'!$A$4:$A$9,0),MATCH($A165,'Tax Residency Eligibility'!$B$3:$G$3,0)),"?"))="Check",IF(D165="","", IFERROR(INDEX('Tax Residency Eligibility'!$B$4:$G$9,MATCH(D165,'Tax Residency Eligibility'!$A$4:$A$9,0),MATCH($A165,'Tax Residency Eligibility'!$B$3:$G$3,0)),"?"))="Check",IF(E165="","", IFERROR(INDEX('Tax Residency Eligibility'!$B$4:$G$9,MATCH(E165,'Tax Residency Eligibility'!$A$4:$A$9,0),MATCH($A165,'Tax Residency Eligibility'!$B$3:$G$3,0)),"?"))="Check"),"Check directly","Yes"))</f>
        <v/>
      </c>
      <c r="G165" s="16">
        <f>IFERROR(VLOOKUP(C165,'Broker Fees'!$A$4:$G$9,7,0),0)+IF(D165="",0,IFERROR(VLOOKUP(D165,'Broker Fees'!$A$4:$G$9,7,0),0))+IF(E165="",0,IFERROR(VLOOKUP(E165,'Broker Fees'!$A$4:$G$9,7,0),0))</f>
        <v/>
      </c>
      <c r="H16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5" s="18">
        <f>VLOOKUP($A165,'Capital Gains Tax'!$A$4:$D$9,2,0)</f>
        <v/>
      </c>
      <c r="J165" s="18">
        <f>VLOOKUP($A165,'Capital Gains Tax'!$A$4:$D$9,3,0)</f>
        <v/>
      </c>
    </row>
    <row r="166" ht="15" customHeight="1">
      <c r="A166" s="9" t="inlineStr">
        <is>
          <t>UAE</t>
        </is>
      </c>
      <c r="B166" s="9" t="inlineStr">
        <is>
          <t>Wio+Swissquote+XTB</t>
        </is>
      </c>
      <c r="C166" s="15" t="inlineStr">
        <is>
          <t>Wio</t>
        </is>
      </c>
      <c r="D166" s="15" t="inlineStr">
        <is>
          <t>Swissquote</t>
        </is>
      </c>
      <c r="E166" s="15" t="inlineStr">
        <is>
          <t>XTB</t>
        </is>
      </c>
      <c r="F166" s="9">
        <f>IF(OR(IF(C166="","", IFERROR(INDEX('Tax Residency Eligibility'!$B$4:$G$9,MATCH(C166,'Tax Residency Eligibility'!$A$4:$A$9,0),MATCH($A166,'Tax Residency Eligibility'!$B$3:$G$3,0)),"?"))="N",IF(D166="","", IFERROR(INDEX('Tax Residency Eligibility'!$B$4:$G$9,MATCH(D166,'Tax Residency Eligibility'!$A$4:$A$9,0),MATCH($A166,'Tax Residency Eligibility'!$B$3:$G$3,0)),"?"))="N",IF(E166="","", IFERROR(INDEX('Tax Residency Eligibility'!$B$4:$G$9,MATCH(E166,'Tax Residency Eligibility'!$A$4:$A$9,0),MATCH($A166,'Tax Residency Eligibility'!$B$3:$G$3,0)),"?"))="N"),"No",IF(OR(IF(C166="","", IFERROR(INDEX('Tax Residency Eligibility'!$B$4:$G$9,MATCH(C166,'Tax Residency Eligibility'!$A$4:$A$9,0),MATCH($A166,'Tax Residency Eligibility'!$B$3:$G$3,0)),"?"))="Check",IF(D166="","", IFERROR(INDEX('Tax Residency Eligibility'!$B$4:$G$9,MATCH(D166,'Tax Residency Eligibility'!$A$4:$A$9,0),MATCH($A166,'Tax Residency Eligibility'!$B$3:$G$3,0)),"?"))="Check",IF(E166="","", IFERROR(INDEX('Tax Residency Eligibility'!$B$4:$G$9,MATCH(E166,'Tax Residency Eligibility'!$A$4:$A$9,0),MATCH($A166,'Tax Residency Eligibility'!$B$3:$G$3,0)),"?"))="Check"),"Check directly","Yes"))</f>
        <v/>
      </c>
      <c r="G166" s="16">
        <f>IFERROR(VLOOKUP(C166,'Broker Fees'!$A$4:$G$9,7,0),0)+IF(D166="",0,IFERROR(VLOOKUP(D166,'Broker Fees'!$A$4:$G$9,7,0),0))+IF(E166="",0,IFERROR(VLOOKUP(E166,'Broker Fees'!$A$4:$G$9,7,0),0))</f>
        <v/>
      </c>
      <c r="H16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6" s="18">
        <f>VLOOKUP($A166,'Capital Gains Tax'!$A$4:$D$9,2,0)</f>
        <v/>
      </c>
      <c r="J166" s="18">
        <f>VLOOKUP($A166,'Capital Gains Tax'!$A$4:$D$9,3,0)</f>
        <v/>
      </c>
    </row>
    <row r="167" ht="15" customHeight="1">
      <c r="A167" s="9" t="inlineStr">
        <is>
          <t>UAE</t>
        </is>
      </c>
      <c r="B167" s="9" t="inlineStr">
        <is>
          <t>Exante+Swissquote+XTB</t>
        </is>
      </c>
      <c r="C167" s="15" t="inlineStr">
        <is>
          <t>Exante</t>
        </is>
      </c>
      <c r="D167" s="15" t="inlineStr">
        <is>
          <t>Swissquote</t>
        </is>
      </c>
      <c r="E167" s="15" t="inlineStr">
        <is>
          <t>XTB</t>
        </is>
      </c>
      <c r="F167" s="9">
        <f>IF(OR(IF(C167="","", IFERROR(INDEX('Tax Residency Eligibility'!$B$4:$G$9,MATCH(C167,'Tax Residency Eligibility'!$A$4:$A$9,0),MATCH($A167,'Tax Residency Eligibility'!$B$3:$G$3,0)),"?"))="N",IF(D167="","", IFERROR(INDEX('Tax Residency Eligibility'!$B$4:$G$9,MATCH(D167,'Tax Residency Eligibility'!$A$4:$A$9,0),MATCH($A167,'Tax Residency Eligibility'!$B$3:$G$3,0)),"?"))="N",IF(E167="","", IFERROR(INDEX('Tax Residency Eligibility'!$B$4:$G$9,MATCH(E167,'Tax Residency Eligibility'!$A$4:$A$9,0),MATCH($A167,'Tax Residency Eligibility'!$B$3:$G$3,0)),"?"))="N"),"No",IF(OR(IF(C167="","", IFERROR(INDEX('Tax Residency Eligibility'!$B$4:$G$9,MATCH(C167,'Tax Residency Eligibility'!$A$4:$A$9,0),MATCH($A167,'Tax Residency Eligibility'!$B$3:$G$3,0)),"?"))="Check",IF(D167="","", IFERROR(INDEX('Tax Residency Eligibility'!$B$4:$G$9,MATCH(D167,'Tax Residency Eligibility'!$A$4:$A$9,0),MATCH($A167,'Tax Residency Eligibility'!$B$3:$G$3,0)),"?"))="Check",IF(E167="","", IFERROR(INDEX('Tax Residency Eligibility'!$B$4:$G$9,MATCH(E167,'Tax Residency Eligibility'!$A$4:$A$9,0),MATCH($A167,'Tax Residency Eligibility'!$B$3:$G$3,0)),"?"))="Check"),"Check directly","Yes"))</f>
        <v/>
      </c>
      <c r="G167" s="16">
        <f>IFERROR(VLOOKUP(C167,'Broker Fees'!$A$4:$G$9,7,0),0)+IF(D167="",0,IFERROR(VLOOKUP(D167,'Broker Fees'!$A$4:$G$9,7,0),0))+IF(E167="",0,IFERROR(VLOOKUP(E167,'Broker Fees'!$A$4:$G$9,7,0),0))</f>
        <v/>
      </c>
      <c r="H16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7" s="18">
        <f>VLOOKUP($A167,'Capital Gains Tax'!$A$4:$D$9,2,0)</f>
        <v/>
      </c>
      <c r="J167" s="18">
        <f>VLOOKUP($A167,'Capital Gains Tax'!$A$4:$D$9,3,0)</f>
        <v/>
      </c>
    </row>
    <row r="168" ht="15" customHeight="1">
      <c r="A168" s="9" t="inlineStr">
        <is>
          <t>CH</t>
        </is>
      </c>
      <c r="B168" s="9" t="inlineStr">
        <is>
          <t>IBKR</t>
        </is>
      </c>
      <c r="C168" s="15" t="inlineStr">
        <is>
          <t>IBKR</t>
        </is>
      </c>
      <c r="D168" s="15" t="n"/>
      <c r="E168" s="15" t="n"/>
      <c r="F168" s="9">
        <f>IF(OR(IF(C168="","", IFERROR(INDEX('Tax Residency Eligibility'!$B$4:$G$9,MATCH(C168,'Tax Residency Eligibility'!$A$4:$A$9,0),MATCH($A168,'Tax Residency Eligibility'!$B$3:$G$3,0)),"?"))="N",IF(D168="","", IFERROR(INDEX('Tax Residency Eligibility'!$B$4:$G$9,MATCH(D168,'Tax Residency Eligibility'!$A$4:$A$9,0),MATCH($A168,'Tax Residency Eligibility'!$B$3:$G$3,0)),"?"))="N",IF(E168="","", IFERROR(INDEX('Tax Residency Eligibility'!$B$4:$G$9,MATCH(E168,'Tax Residency Eligibility'!$A$4:$A$9,0),MATCH($A168,'Tax Residency Eligibility'!$B$3:$G$3,0)),"?"))="N"),"No",IF(OR(IF(C168="","", IFERROR(INDEX('Tax Residency Eligibility'!$B$4:$G$9,MATCH(C168,'Tax Residency Eligibility'!$A$4:$A$9,0),MATCH($A168,'Tax Residency Eligibility'!$B$3:$G$3,0)),"?"))="Check",IF(D168="","", IFERROR(INDEX('Tax Residency Eligibility'!$B$4:$G$9,MATCH(D168,'Tax Residency Eligibility'!$A$4:$A$9,0),MATCH($A168,'Tax Residency Eligibility'!$B$3:$G$3,0)),"?"))="Check",IF(E168="","", IFERROR(INDEX('Tax Residency Eligibility'!$B$4:$G$9,MATCH(E168,'Tax Residency Eligibility'!$A$4:$A$9,0),MATCH($A168,'Tax Residency Eligibility'!$B$3:$G$3,0)),"?"))="Check"),"Check directly","Yes"))</f>
        <v/>
      </c>
      <c r="G168" s="16">
        <f>IFERROR(VLOOKUP(C168,'Broker Fees'!$A$4:$G$9,7,0),0)+IF(D168="",0,IFERROR(VLOOKUP(D168,'Broker Fees'!$A$4:$G$9,7,0),0))+IF(E168="",0,IFERROR(VLOOKUP(E168,'Broker Fees'!$A$4:$G$9,7,0),0))</f>
        <v/>
      </c>
      <c r="H16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8" s="18">
        <f>VLOOKUP($A168,'Capital Gains Tax'!$A$4:$D$9,2,0)</f>
        <v/>
      </c>
      <c r="J168" s="18">
        <f>VLOOKUP($A168,'Capital Gains Tax'!$A$4:$D$9,3,0)</f>
        <v/>
      </c>
    </row>
    <row r="169" ht="15" customHeight="1">
      <c r="A169" s="9" t="inlineStr">
        <is>
          <t>CH</t>
        </is>
      </c>
      <c r="B169" s="9" t="inlineStr">
        <is>
          <t>Saxo</t>
        </is>
      </c>
      <c r="C169" s="15" t="inlineStr">
        <is>
          <t>Saxo</t>
        </is>
      </c>
      <c r="D169" s="15" t="n"/>
      <c r="E169" s="15" t="n"/>
      <c r="F169" s="9">
        <f>IF(OR(IF(C169="","", IFERROR(INDEX('Tax Residency Eligibility'!$B$4:$G$9,MATCH(C169,'Tax Residency Eligibility'!$A$4:$A$9,0),MATCH($A169,'Tax Residency Eligibility'!$B$3:$G$3,0)),"?"))="N",IF(D169="","", IFERROR(INDEX('Tax Residency Eligibility'!$B$4:$G$9,MATCH(D169,'Tax Residency Eligibility'!$A$4:$A$9,0),MATCH($A169,'Tax Residency Eligibility'!$B$3:$G$3,0)),"?"))="N",IF(E169="","", IFERROR(INDEX('Tax Residency Eligibility'!$B$4:$G$9,MATCH(E169,'Tax Residency Eligibility'!$A$4:$A$9,0),MATCH($A169,'Tax Residency Eligibility'!$B$3:$G$3,0)),"?"))="N"),"No",IF(OR(IF(C169="","", IFERROR(INDEX('Tax Residency Eligibility'!$B$4:$G$9,MATCH(C169,'Tax Residency Eligibility'!$A$4:$A$9,0),MATCH($A169,'Tax Residency Eligibility'!$B$3:$G$3,0)),"?"))="Check",IF(D169="","", IFERROR(INDEX('Tax Residency Eligibility'!$B$4:$G$9,MATCH(D169,'Tax Residency Eligibility'!$A$4:$A$9,0),MATCH($A169,'Tax Residency Eligibility'!$B$3:$G$3,0)),"?"))="Check",IF(E169="","", IFERROR(INDEX('Tax Residency Eligibility'!$B$4:$G$9,MATCH(E169,'Tax Residency Eligibility'!$A$4:$A$9,0),MATCH($A169,'Tax Residency Eligibility'!$B$3:$G$3,0)),"?"))="Check"),"Check directly","Yes"))</f>
        <v/>
      </c>
      <c r="G169" s="16">
        <f>IFERROR(VLOOKUP(C169,'Broker Fees'!$A$4:$G$9,7,0),0)+IF(D169="",0,IFERROR(VLOOKUP(D169,'Broker Fees'!$A$4:$G$9,7,0),0))+IF(E169="",0,IFERROR(VLOOKUP(E169,'Broker Fees'!$A$4:$G$9,7,0),0))</f>
        <v/>
      </c>
      <c r="H16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69" s="18">
        <f>VLOOKUP($A169,'Capital Gains Tax'!$A$4:$D$9,2,0)</f>
        <v/>
      </c>
      <c r="J169" s="18">
        <f>VLOOKUP($A169,'Capital Gains Tax'!$A$4:$D$9,3,0)</f>
        <v/>
      </c>
    </row>
    <row r="170" ht="15" customHeight="1">
      <c r="A170" s="9" t="inlineStr">
        <is>
          <t>CH</t>
        </is>
      </c>
      <c r="B170" s="9" t="inlineStr">
        <is>
          <t>Wio</t>
        </is>
      </c>
      <c r="C170" s="15" t="inlineStr">
        <is>
          <t>Wio</t>
        </is>
      </c>
      <c r="D170" s="15" t="n"/>
      <c r="E170" s="15" t="n"/>
      <c r="F170" s="9">
        <f>IF(OR(IF(C170="","", IFERROR(INDEX('Tax Residency Eligibility'!$B$4:$G$9,MATCH(C170,'Tax Residency Eligibility'!$A$4:$A$9,0),MATCH($A170,'Tax Residency Eligibility'!$B$3:$G$3,0)),"?"))="N",IF(D170="","", IFERROR(INDEX('Tax Residency Eligibility'!$B$4:$G$9,MATCH(D170,'Tax Residency Eligibility'!$A$4:$A$9,0),MATCH($A170,'Tax Residency Eligibility'!$B$3:$G$3,0)),"?"))="N",IF(E170="","", IFERROR(INDEX('Tax Residency Eligibility'!$B$4:$G$9,MATCH(E170,'Tax Residency Eligibility'!$A$4:$A$9,0),MATCH($A170,'Tax Residency Eligibility'!$B$3:$G$3,0)),"?"))="N"),"No",IF(OR(IF(C170="","", IFERROR(INDEX('Tax Residency Eligibility'!$B$4:$G$9,MATCH(C170,'Tax Residency Eligibility'!$A$4:$A$9,0),MATCH($A170,'Tax Residency Eligibility'!$B$3:$G$3,0)),"?"))="Check",IF(D170="","", IFERROR(INDEX('Tax Residency Eligibility'!$B$4:$G$9,MATCH(D170,'Tax Residency Eligibility'!$A$4:$A$9,0),MATCH($A170,'Tax Residency Eligibility'!$B$3:$G$3,0)),"?"))="Check",IF(E170="","", IFERROR(INDEX('Tax Residency Eligibility'!$B$4:$G$9,MATCH(E170,'Tax Residency Eligibility'!$A$4:$A$9,0),MATCH($A170,'Tax Residency Eligibility'!$B$3:$G$3,0)),"?"))="Check"),"Check directly","Yes"))</f>
        <v/>
      </c>
      <c r="G170" s="16">
        <f>IFERROR(VLOOKUP(C170,'Broker Fees'!$A$4:$G$9,7,0),0)+IF(D170="",0,IFERROR(VLOOKUP(D170,'Broker Fees'!$A$4:$G$9,7,0),0))+IF(E170="",0,IFERROR(VLOOKUP(E170,'Broker Fees'!$A$4:$G$9,7,0),0))</f>
        <v/>
      </c>
      <c r="H17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0" s="18">
        <f>VLOOKUP($A170,'Capital Gains Tax'!$A$4:$D$9,2,0)</f>
        <v/>
      </c>
      <c r="J170" s="18">
        <f>VLOOKUP($A170,'Capital Gains Tax'!$A$4:$D$9,3,0)</f>
        <v/>
      </c>
    </row>
    <row r="171" ht="15" customHeight="1">
      <c r="A171" s="9" t="inlineStr">
        <is>
          <t>CH</t>
        </is>
      </c>
      <c r="B171" s="9" t="inlineStr">
        <is>
          <t>Exante</t>
        </is>
      </c>
      <c r="C171" s="15" t="inlineStr">
        <is>
          <t>Exante</t>
        </is>
      </c>
      <c r="D171" s="15" t="n"/>
      <c r="E171" s="15" t="n"/>
      <c r="F171" s="9">
        <f>IF(OR(IF(C171="","", IFERROR(INDEX('Tax Residency Eligibility'!$B$4:$G$9,MATCH(C171,'Tax Residency Eligibility'!$A$4:$A$9,0),MATCH($A171,'Tax Residency Eligibility'!$B$3:$G$3,0)),"?"))="N",IF(D171="","", IFERROR(INDEX('Tax Residency Eligibility'!$B$4:$G$9,MATCH(D171,'Tax Residency Eligibility'!$A$4:$A$9,0),MATCH($A171,'Tax Residency Eligibility'!$B$3:$G$3,0)),"?"))="N",IF(E171="","", IFERROR(INDEX('Tax Residency Eligibility'!$B$4:$G$9,MATCH(E171,'Tax Residency Eligibility'!$A$4:$A$9,0),MATCH($A171,'Tax Residency Eligibility'!$B$3:$G$3,0)),"?"))="N"),"No",IF(OR(IF(C171="","", IFERROR(INDEX('Tax Residency Eligibility'!$B$4:$G$9,MATCH(C171,'Tax Residency Eligibility'!$A$4:$A$9,0),MATCH($A171,'Tax Residency Eligibility'!$B$3:$G$3,0)),"?"))="Check",IF(D171="","", IFERROR(INDEX('Tax Residency Eligibility'!$B$4:$G$9,MATCH(D171,'Tax Residency Eligibility'!$A$4:$A$9,0),MATCH($A171,'Tax Residency Eligibility'!$B$3:$G$3,0)),"?"))="Check",IF(E171="","", IFERROR(INDEX('Tax Residency Eligibility'!$B$4:$G$9,MATCH(E171,'Tax Residency Eligibility'!$A$4:$A$9,0),MATCH($A171,'Tax Residency Eligibility'!$B$3:$G$3,0)),"?"))="Check"),"Check directly","Yes"))</f>
        <v/>
      </c>
      <c r="G171" s="16">
        <f>IFERROR(VLOOKUP(C171,'Broker Fees'!$A$4:$G$9,7,0),0)+IF(D171="",0,IFERROR(VLOOKUP(D171,'Broker Fees'!$A$4:$G$9,7,0),0))+IF(E171="",0,IFERROR(VLOOKUP(E171,'Broker Fees'!$A$4:$G$9,7,0),0))</f>
        <v/>
      </c>
      <c r="H17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1" s="18">
        <f>VLOOKUP($A171,'Capital Gains Tax'!$A$4:$D$9,2,0)</f>
        <v/>
      </c>
      <c r="J171" s="18">
        <f>VLOOKUP($A171,'Capital Gains Tax'!$A$4:$D$9,3,0)</f>
        <v/>
      </c>
    </row>
    <row r="172" ht="15" customHeight="1">
      <c r="A172" s="9" t="inlineStr">
        <is>
          <t>CH</t>
        </is>
      </c>
      <c r="B172" s="9" t="inlineStr">
        <is>
          <t>Swissquote</t>
        </is>
      </c>
      <c r="C172" s="15" t="inlineStr">
        <is>
          <t>Swissquote</t>
        </is>
      </c>
      <c r="D172" s="15" t="n"/>
      <c r="E172" s="15" t="n"/>
      <c r="F172" s="9">
        <f>IF(OR(IF(C172="","", IFERROR(INDEX('Tax Residency Eligibility'!$B$4:$G$9,MATCH(C172,'Tax Residency Eligibility'!$A$4:$A$9,0),MATCH($A172,'Tax Residency Eligibility'!$B$3:$G$3,0)),"?"))="N",IF(D172="","", IFERROR(INDEX('Tax Residency Eligibility'!$B$4:$G$9,MATCH(D172,'Tax Residency Eligibility'!$A$4:$A$9,0),MATCH($A172,'Tax Residency Eligibility'!$B$3:$G$3,0)),"?"))="N",IF(E172="","", IFERROR(INDEX('Tax Residency Eligibility'!$B$4:$G$9,MATCH(E172,'Tax Residency Eligibility'!$A$4:$A$9,0),MATCH($A172,'Tax Residency Eligibility'!$B$3:$G$3,0)),"?"))="N"),"No",IF(OR(IF(C172="","", IFERROR(INDEX('Tax Residency Eligibility'!$B$4:$G$9,MATCH(C172,'Tax Residency Eligibility'!$A$4:$A$9,0),MATCH($A172,'Tax Residency Eligibility'!$B$3:$G$3,0)),"?"))="Check",IF(D172="","", IFERROR(INDEX('Tax Residency Eligibility'!$B$4:$G$9,MATCH(D172,'Tax Residency Eligibility'!$A$4:$A$9,0),MATCH($A172,'Tax Residency Eligibility'!$B$3:$G$3,0)),"?"))="Check",IF(E172="","", IFERROR(INDEX('Tax Residency Eligibility'!$B$4:$G$9,MATCH(E172,'Tax Residency Eligibility'!$A$4:$A$9,0),MATCH($A172,'Tax Residency Eligibility'!$B$3:$G$3,0)),"?"))="Check"),"Check directly","Yes"))</f>
        <v/>
      </c>
      <c r="G172" s="16">
        <f>IFERROR(VLOOKUP(C172,'Broker Fees'!$A$4:$G$9,7,0),0)+IF(D172="",0,IFERROR(VLOOKUP(D172,'Broker Fees'!$A$4:$G$9,7,0),0))+IF(E172="",0,IFERROR(VLOOKUP(E172,'Broker Fees'!$A$4:$G$9,7,0),0))</f>
        <v/>
      </c>
      <c r="H17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2" s="18">
        <f>VLOOKUP($A172,'Capital Gains Tax'!$A$4:$D$9,2,0)</f>
        <v/>
      </c>
      <c r="J172" s="18">
        <f>VLOOKUP($A172,'Capital Gains Tax'!$A$4:$D$9,3,0)</f>
        <v/>
      </c>
    </row>
    <row r="173" ht="15" customHeight="1">
      <c r="A173" s="9" t="inlineStr">
        <is>
          <t>CH</t>
        </is>
      </c>
      <c r="B173" s="9" t="inlineStr">
        <is>
          <t>XTB</t>
        </is>
      </c>
      <c r="C173" s="15" t="inlineStr">
        <is>
          <t>XTB</t>
        </is>
      </c>
      <c r="D173" s="15" t="n"/>
      <c r="E173" s="15" t="n"/>
      <c r="F173" s="9">
        <f>IF(OR(IF(C173="","", IFERROR(INDEX('Tax Residency Eligibility'!$B$4:$G$9,MATCH(C173,'Tax Residency Eligibility'!$A$4:$A$9,0),MATCH($A173,'Tax Residency Eligibility'!$B$3:$G$3,0)),"?"))="N",IF(D173="","", IFERROR(INDEX('Tax Residency Eligibility'!$B$4:$G$9,MATCH(D173,'Tax Residency Eligibility'!$A$4:$A$9,0),MATCH($A173,'Tax Residency Eligibility'!$B$3:$G$3,0)),"?"))="N",IF(E173="","", IFERROR(INDEX('Tax Residency Eligibility'!$B$4:$G$9,MATCH(E173,'Tax Residency Eligibility'!$A$4:$A$9,0),MATCH($A173,'Tax Residency Eligibility'!$B$3:$G$3,0)),"?"))="N"),"No",IF(OR(IF(C173="","", IFERROR(INDEX('Tax Residency Eligibility'!$B$4:$G$9,MATCH(C173,'Tax Residency Eligibility'!$A$4:$A$9,0),MATCH($A173,'Tax Residency Eligibility'!$B$3:$G$3,0)),"?"))="Check",IF(D173="","", IFERROR(INDEX('Tax Residency Eligibility'!$B$4:$G$9,MATCH(D173,'Tax Residency Eligibility'!$A$4:$A$9,0),MATCH($A173,'Tax Residency Eligibility'!$B$3:$G$3,0)),"?"))="Check",IF(E173="","", IFERROR(INDEX('Tax Residency Eligibility'!$B$4:$G$9,MATCH(E173,'Tax Residency Eligibility'!$A$4:$A$9,0),MATCH($A173,'Tax Residency Eligibility'!$B$3:$G$3,0)),"?"))="Check"),"Check directly","Yes"))</f>
        <v/>
      </c>
      <c r="G173" s="16">
        <f>IFERROR(VLOOKUP(C173,'Broker Fees'!$A$4:$G$9,7,0),0)+IF(D173="",0,IFERROR(VLOOKUP(D173,'Broker Fees'!$A$4:$G$9,7,0),0))+IF(E173="",0,IFERROR(VLOOKUP(E173,'Broker Fees'!$A$4:$G$9,7,0),0))</f>
        <v/>
      </c>
      <c r="H17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3" s="18">
        <f>VLOOKUP($A173,'Capital Gains Tax'!$A$4:$D$9,2,0)</f>
        <v/>
      </c>
      <c r="J173" s="18">
        <f>VLOOKUP($A173,'Capital Gains Tax'!$A$4:$D$9,3,0)</f>
        <v/>
      </c>
    </row>
    <row r="174" ht="15" customHeight="1">
      <c r="A174" s="9" t="inlineStr">
        <is>
          <t>CH</t>
        </is>
      </c>
      <c r="B174" s="9" t="inlineStr">
        <is>
          <t>IBKR+Saxo</t>
        </is>
      </c>
      <c r="C174" s="15" t="inlineStr">
        <is>
          <t>IBKR</t>
        </is>
      </c>
      <c r="D174" s="15" t="inlineStr">
        <is>
          <t>Saxo</t>
        </is>
      </c>
      <c r="E174" s="15" t="n"/>
      <c r="F174" s="9">
        <f>IF(OR(IF(C174="","", IFERROR(INDEX('Tax Residency Eligibility'!$B$4:$G$9,MATCH(C174,'Tax Residency Eligibility'!$A$4:$A$9,0),MATCH($A174,'Tax Residency Eligibility'!$B$3:$G$3,0)),"?"))="N",IF(D174="","", IFERROR(INDEX('Tax Residency Eligibility'!$B$4:$G$9,MATCH(D174,'Tax Residency Eligibility'!$A$4:$A$9,0),MATCH($A174,'Tax Residency Eligibility'!$B$3:$G$3,0)),"?"))="N",IF(E174="","", IFERROR(INDEX('Tax Residency Eligibility'!$B$4:$G$9,MATCH(E174,'Tax Residency Eligibility'!$A$4:$A$9,0),MATCH($A174,'Tax Residency Eligibility'!$B$3:$G$3,0)),"?"))="N"),"No",IF(OR(IF(C174="","", IFERROR(INDEX('Tax Residency Eligibility'!$B$4:$G$9,MATCH(C174,'Tax Residency Eligibility'!$A$4:$A$9,0),MATCH($A174,'Tax Residency Eligibility'!$B$3:$G$3,0)),"?"))="Check",IF(D174="","", IFERROR(INDEX('Tax Residency Eligibility'!$B$4:$G$9,MATCH(D174,'Tax Residency Eligibility'!$A$4:$A$9,0),MATCH($A174,'Tax Residency Eligibility'!$B$3:$G$3,0)),"?"))="Check",IF(E174="","", IFERROR(INDEX('Tax Residency Eligibility'!$B$4:$G$9,MATCH(E174,'Tax Residency Eligibility'!$A$4:$A$9,0),MATCH($A174,'Tax Residency Eligibility'!$B$3:$G$3,0)),"?"))="Check"),"Check directly","Yes"))</f>
        <v/>
      </c>
      <c r="G174" s="16">
        <f>IFERROR(VLOOKUP(C174,'Broker Fees'!$A$4:$G$9,7,0),0)+IF(D174="",0,IFERROR(VLOOKUP(D174,'Broker Fees'!$A$4:$G$9,7,0),0))+IF(E174="",0,IFERROR(VLOOKUP(E174,'Broker Fees'!$A$4:$G$9,7,0),0))</f>
        <v/>
      </c>
      <c r="H17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4" s="18">
        <f>VLOOKUP($A174,'Capital Gains Tax'!$A$4:$D$9,2,0)</f>
        <v/>
      </c>
      <c r="J174" s="18">
        <f>VLOOKUP($A174,'Capital Gains Tax'!$A$4:$D$9,3,0)</f>
        <v/>
      </c>
    </row>
    <row r="175" ht="15" customHeight="1">
      <c r="A175" s="9" t="inlineStr">
        <is>
          <t>CH</t>
        </is>
      </c>
      <c r="B175" s="9" t="inlineStr">
        <is>
          <t>IBKR+Wio</t>
        </is>
      </c>
      <c r="C175" s="15" t="inlineStr">
        <is>
          <t>IBKR</t>
        </is>
      </c>
      <c r="D175" s="15" t="inlineStr">
        <is>
          <t>Wio</t>
        </is>
      </c>
      <c r="E175" s="15" t="n"/>
      <c r="F175" s="9">
        <f>IF(OR(IF(C175="","", IFERROR(INDEX('Tax Residency Eligibility'!$B$4:$G$9,MATCH(C175,'Tax Residency Eligibility'!$A$4:$A$9,0),MATCH($A175,'Tax Residency Eligibility'!$B$3:$G$3,0)),"?"))="N",IF(D175="","", IFERROR(INDEX('Tax Residency Eligibility'!$B$4:$G$9,MATCH(D175,'Tax Residency Eligibility'!$A$4:$A$9,0),MATCH($A175,'Tax Residency Eligibility'!$B$3:$G$3,0)),"?"))="N",IF(E175="","", IFERROR(INDEX('Tax Residency Eligibility'!$B$4:$G$9,MATCH(E175,'Tax Residency Eligibility'!$A$4:$A$9,0),MATCH($A175,'Tax Residency Eligibility'!$B$3:$G$3,0)),"?"))="N"),"No",IF(OR(IF(C175="","", IFERROR(INDEX('Tax Residency Eligibility'!$B$4:$G$9,MATCH(C175,'Tax Residency Eligibility'!$A$4:$A$9,0),MATCH($A175,'Tax Residency Eligibility'!$B$3:$G$3,0)),"?"))="Check",IF(D175="","", IFERROR(INDEX('Tax Residency Eligibility'!$B$4:$G$9,MATCH(D175,'Tax Residency Eligibility'!$A$4:$A$9,0),MATCH($A175,'Tax Residency Eligibility'!$B$3:$G$3,0)),"?"))="Check",IF(E175="","", IFERROR(INDEX('Tax Residency Eligibility'!$B$4:$G$9,MATCH(E175,'Tax Residency Eligibility'!$A$4:$A$9,0),MATCH($A175,'Tax Residency Eligibility'!$B$3:$G$3,0)),"?"))="Check"),"Check directly","Yes"))</f>
        <v/>
      </c>
      <c r="G175" s="16">
        <f>IFERROR(VLOOKUP(C175,'Broker Fees'!$A$4:$G$9,7,0),0)+IF(D175="",0,IFERROR(VLOOKUP(D175,'Broker Fees'!$A$4:$G$9,7,0),0))+IF(E175="",0,IFERROR(VLOOKUP(E175,'Broker Fees'!$A$4:$G$9,7,0),0))</f>
        <v/>
      </c>
      <c r="H17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5" s="18">
        <f>VLOOKUP($A175,'Capital Gains Tax'!$A$4:$D$9,2,0)</f>
        <v/>
      </c>
      <c r="J175" s="18">
        <f>VLOOKUP($A175,'Capital Gains Tax'!$A$4:$D$9,3,0)</f>
        <v/>
      </c>
    </row>
    <row r="176" ht="15" customHeight="1">
      <c r="A176" s="9" t="inlineStr">
        <is>
          <t>CH</t>
        </is>
      </c>
      <c r="B176" s="9" t="inlineStr">
        <is>
          <t>IBKR+Exante</t>
        </is>
      </c>
      <c r="C176" s="15" t="inlineStr">
        <is>
          <t>IBKR</t>
        </is>
      </c>
      <c r="D176" s="15" t="inlineStr">
        <is>
          <t>Exante</t>
        </is>
      </c>
      <c r="E176" s="15" t="n"/>
      <c r="F176" s="9">
        <f>IF(OR(IF(C176="","", IFERROR(INDEX('Tax Residency Eligibility'!$B$4:$G$9,MATCH(C176,'Tax Residency Eligibility'!$A$4:$A$9,0),MATCH($A176,'Tax Residency Eligibility'!$B$3:$G$3,0)),"?"))="N",IF(D176="","", IFERROR(INDEX('Tax Residency Eligibility'!$B$4:$G$9,MATCH(D176,'Tax Residency Eligibility'!$A$4:$A$9,0),MATCH($A176,'Tax Residency Eligibility'!$B$3:$G$3,0)),"?"))="N",IF(E176="","", IFERROR(INDEX('Tax Residency Eligibility'!$B$4:$G$9,MATCH(E176,'Tax Residency Eligibility'!$A$4:$A$9,0),MATCH($A176,'Tax Residency Eligibility'!$B$3:$G$3,0)),"?"))="N"),"No",IF(OR(IF(C176="","", IFERROR(INDEX('Tax Residency Eligibility'!$B$4:$G$9,MATCH(C176,'Tax Residency Eligibility'!$A$4:$A$9,0),MATCH($A176,'Tax Residency Eligibility'!$B$3:$G$3,0)),"?"))="Check",IF(D176="","", IFERROR(INDEX('Tax Residency Eligibility'!$B$4:$G$9,MATCH(D176,'Tax Residency Eligibility'!$A$4:$A$9,0),MATCH($A176,'Tax Residency Eligibility'!$B$3:$G$3,0)),"?"))="Check",IF(E176="","", IFERROR(INDEX('Tax Residency Eligibility'!$B$4:$G$9,MATCH(E176,'Tax Residency Eligibility'!$A$4:$A$9,0),MATCH($A176,'Tax Residency Eligibility'!$B$3:$G$3,0)),"?"))="Check"),"Check directly","Yes"))</f>
        <v/>
      </c>
      <c r="G176" s="16">
        <f>IFERROR(VLOOKUP(C176,'Broker Fees'!$A$4:$G$9,7,0),0)+IF(D176="",0,IFERROR(VLOOKUP(D176,'Broker Fees'!$A$4:$G$9,7,0),0))+IF(E176="",0,IFERROR(VLOOKUP(E176,'Broker Fees'!$A$4:$G$9,7,0),0))</f>
        <v/>
      </c>
      <c r="H17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6" s="18">
        <f>VLOOKUP($A176,'Capital Gains Tax'!$A$4:$D$9,2,0)</f>
        <v/>
      </c>
      <c r="J176" s="18">
        <f>VLOOKUP($A176,'Capital Gains Tax'!$A$4:$D$9,3,0)</f>
        <v/>
      </c>
    </row>
    <row r="177" ht="15" customHeight="1">
      <c r="A177" s="9" t="inlineStr">
        <is>
          <t>CH</t>
        </is>
      </c>
      <c r="B177" s="9" t="inlineStr">
        <is>
          <t>IBKR+Swissquote</t>
        </is>
      </c>
      <c r="C177" s="15" t="inlineStr">
        <is>
          <t>IBKR</t>
        </is>
      </c>
      <c r="D177" s="15" t="inlineStr">
        <is>
          <t>Swissquote</t>
        </is>
      </c>
      <c r="E177" s="15" t="n"/>
      <c r="F177" s="9">
        <f>IF(OR(IF(C177="","", IFERROR(INDEX('Tax Residency Eligibility'!$B$4:$G$9,MATCH(C177,'Tax Residency Eligibility'!$A$4:$A$9,0),MATCH($A177,'Tax Residency Eligibility'!$B$3:$G$3,0)),"?"))="N",IF(D177="","", IFERROR(INDEX('Tax Residency Eligibility'!$B$4:$G$9,MATCH(D177,'Tax Residency Eligibility'!$A$4:$A$9,0),MATCH($A177,'Tax Residency Eligibility'!$B$3:$G$3,0)),"?"))="N",IF(E177="","", IFERROR(INDEX('Tax Residency Eligibility'!$B$4:$G$9,MATCH(E177,'Tax Residency Eligibility'!$A$4:$A$9,0),MATCH($A177,'Tax Residency Eligibility'!$B$3:$G$3,0)),"?"))="N"),"No",IF(OR(IF(C177="","", IFERROR(INDEX('Tax Residency Eligibility'!$B$4:$G$9,MATCH(C177,'Tax Residency Eligibility'!$A$4:$A$9,0),MATCH($A177,'Tax Residency Eligibility'!$B$3:$G$3,0)),"?"))="Check",IF(D177="","", IFERROR(INDEX('Tax Residency Eligibility'!$B$4:$G$9,MATCH(D177,'Tax Residency Eligibility'!$A$4:$A$9,0),MATCH($A177,'Tax Residency Eligibility'!$B$3:$G$3,0)),"?"))="Check",IF(E177="","", IFERROR(INDEX('Tax Residency Eligibility'!$B$4:$G$9,MATCH(E177,'Tax Residency Eligibility'!$A$4:$A$9,0),MATCH($A177,'Tax Residency Eligibility'!$B$3:$G$3,0)),"?"))="Check"),"Check directly","Yes"))</f>
        <v/>
      </c>
      <c r="G177" s="16">
        <f>IFERROR(VLOOKUP(C177,'Broker Fees'!$A$4:$G$9,7,0),0)+IF(D177="",0,IFERROR(VLOOKUP(D177,'Broker Fees'!$A$4:$G$9,7,0),0))+IF(E177="",0,IFERROR(VLOOKUP(E177,'Broker Fees'!$A$4:$G$9,7,0),0))</f>
        <v/>
      </c>
      <c r="H17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7" s="18">
        <f>VLOOKUP($A177,'Capital Gains Tax'!$A$4:$D$9,2,0)</f>
        <v/>
      </c>
      <c r="J177" s="18">
        <f>VLOOKUP($A177,'Capital Gains Tax'!$A$4:$D$9,3,0)</f>
        <v/>
      </c>
    </row>
    <row r="178" ht="15" customHeight="1">
      <c r="A178" s="9" t="inlineStr">
        <is>
          <t>CH</t>
        </is>
      </c>
      <c r="B178" s="9" t="inlineStr">
        <is>
          <t>IBKR+XTB</t>
        </is>
      </c>
      <c r="C178" s="15" t="inlineStr">
        <is>
          <t>IBKR</t>
        </is>
      </c>
      <c r="D178" s="15" t="inlineStr">
        <is>
          <t>XTB</t>
        </is>
      </c>
      <c r="E178" s="15" t="n"/>
      <c r="F178" s="9">
        <f>IF(OR(IF(C178="","", IFERROR(INDEX('Tax Residency Eligibility'!$B$4:$G$9,MATCH(C178,'Tax Residency Eligibility'!$A$4:$A$9,0),MATCH($A178,'Tax Residency Eligibility'!$B$3:$G$3,0)),"?"))="N",IF(D178="","", IFERROR(INDEX('Tax Residency Eligibility'!$B$4:$G$9,MATCH(D178,'Tax Residency Eligibility'!$A$4:$A$9,0),MATCH($A178,'Tax Residency Eligibility'!$B$3:$G$3,0)),"?"))="N",IF(E178="","", IFERROR(INDEX('Tax Residency Eligibility'!$B$4:$G$9,MATCH(E178,'Tax Residency Eligibility'!$A$4:$A$9,0),MATCH($A178,'Tax Residency Eligibility'!$B$3:$G$3,0)),"?"))="N"),"No",IF(OR(IF(C178="","", IFERROR(INDEX('Tax Residency Eligibility'!$B$4:$G$9,MATCH(C178,'Tax Residency Eligibility'!$A$4:$A$9,0),MATCH($A178,'Tax Residency Eligibility'!$B$3:$G$3,0)),"?"))="Check",IF(D178="","", IFERROR(INDEX('Tax Residency Eligibility'!$B$4:$G$9,MATCH(D178,'Tax Residency Eligibility'!$A$4:$A$9,0),MATCH($A178,'Tax Residency Eligibility'!$B$3:$G$3,0)),"?"))="Check",IF(E178="","", IFERROR(INDEX('Tax Residency Eligibility'!$B$4:$G$9,MATCH(E178,'Tax Residency Eligibility'!$A$4:$A$9,0),MATCH($A178,'Tax Residency Eligibility'!$B$3:$G$3,0)),"?"))="Check"),"Check directly","Yes"))</f>
        <v/>
      </c>
      <c r="G178" s="16">
        <f>IFERROR(VLOOKUP(C178,'Broker Fees'!$A$4:$G$9,7,0),0)+IF(D178="",0,IFERROR(VLOOKUP(D178,'Broker Fees'!$A$4:$G$9,7,0),0))+IF(E178="",0,IFERROR(VLOOKUP(E178,'Broker Fees'!$A$4:$G$9,7,0),0))</f>
        <v/>
      </c>
      <c r="H17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8" s="18">
        <f>VLOOKUP($A178,'Capital Gains Tax'!$A$4:$D$9,2,0)</f>
        <v/>
      </c>
      <c r="J178" s="18">
        <f>VLOOKUP($A178,'Capital Gains Tax'!$A$4:$D$9,3,0)</f>
        <v/>
      </c>
    </row>
    <row r="179" ht="15" customHeight="1">
      <c r="A179" s="9" t="inlineStr">
        <is>
          <t>CH</t>
        </is>
      </c>
      <c r="B179" s="9" t="inlineStr">
        <is>
          <t>Saxo+Wio</t>
        </is>
      </c>
      <c r="C179" s="15" t="inlineStr">
        <is>
          <t>Saxo</t>
        </is>
      </c>
      <c r="D179" s="15" t="inlineStr">
        <is>
          <t>Wio</t>
        </is>
      </c>
      <c r="E179" s="15" t="n"/>
      <c r="F179" s="9">
        <f>IF(OR(IF(C179="","", IFERROR(INDEX('Tax Residency Eligibility'!$B$4:$G$9,MATCH(C179,'Tax Residency Eligibility'!$A$4:$A$9,0),MATCH($A179,'Tax Residency Eligibility'!$B$3:$G$3,0)),"?"))="N",IF(D179="","", IFERROR(INDEX('Tax Residency Eligibility'!$B$4:$G$9,MATCH(D179,'Tax Residency Eligibility'!$A$4:$A$9,0),MATCH($A179,'Tax Residency Eligibility'!$B$3:$G$3,0)),"?"))="N",IF(E179="","", IFERROR(INDEX('Tax Residency Eligibility'!$B$4:$G$9,MATCH(E179,'Tax Residency Eligibility'!$A$4:$A$9,0),MATCH($A179,'Tax Residency Eligibility'!$B$3:$G$3,0)),"?"))="N"),"No",IF(OR(IF(C179="","", IFERROR(INDEX('Tax Residency Eligibility'!$B$4:$G$9,MATCH(C179,'Tax Residency Eligibility'!$A$4:$A$9,0),MATCH($A179,'Tax Residency Eligibility'!$B$3:$G$3,0)),"?"))="Check",IF(D179="","", IFERROR(INDEX('Tax Residency Eligibility'!$B$4:$G$9,MATCH(D179,'Tax Residency Eligibility'!$A$4:$A$9,0),MATCH($A179,'Tax Residency Eligibility'!$B$3:$G$3,0)),"?"))="Check",IF(E179="","", IFERROR(INDEX('Tax Residency Eligibility'!$B$4:$G$9,MATCH(E179,'Tax Residency Eligibility'!$A$4:$A$9,0),MATCH($A179,'Tax Residency Eligibility'!$B$3:$G$3,0)),"?"))="Check"),"Check directly","Yes"))</f>
        <v/>
      </c>
      <c r="G179" s="16">
        <f>IFERROR(VLOOKUP(C179,'Broker Fees'!$A$4:$G$9,7,0),0)+IF(D179="",0,IFERROR(VLOOKUP(D179,'Broker Fees'!$A$4:$G$9,7,0),0))+IF(E179="",0,IFERROR(VLOOKUP(E179,'Broker Fees'!$A$4:$G$9,7,0),0))</f>
        <v/>
      </c>
      <c r="H17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79" s="18">
        <f>VLOOKUP($A179,'Capital Gains Tax'!$A$4:$D$9,2,0)</f>
        <v/>
      </c>
      <c r="J179" s="18">
        <f>VLOOKUP($A179,'Capital Gains Tax'!$A$4:$D$9,3,0)</f>
        <v/>
      </c>
    </row>
    <row r="180" ht="15" customHeight="1">
      <c r="A180" s="9" t="inlineStr">
        <is>
          <t>CH</t>
        </is>
      </c>
      <c r="B180" s="9" t="inlineStr">
        <is>
          <t>Saxo+Exante</t>
        </is>
      </c>
      <c r="C180" s="15" t="inlineStr">
        <is>
          <t>Saxo</t>
        </is>
      </c>
      <c r="D180" s="15" t="inlineStr">
        <is>
          <t>Exante</t>
        </is>
      </c>
      <c r="E180" s="15" t="n"/>
      <c r="F180" s="9">
        <f>IF(OR(IF(C180="","", IFERROR(INDEX('Tax Residency Eligibility'!$B$4:$G$9,MATCH(C180,'Tax Residency Eligibility'!$A$4:$A$9,0),MATCH($A180,'Tax Residency Eligibility'!$B$3:$G$3,0)),"?"))="N",IF(D180="","", IFERROR(INDEX('Tax Residency Eligibility'!$B$4:$G$9,MATCH(D180,'Tax Residency Eligibility'!$A$4:$A$9,0),MATCH($A180,'Tax Residency Eligibility'!$B$3:$G$3,0)),"?"))="N",IF(E180="","", IFERROR(INDEX('Tax Residency Eligibility'!$B$4:$G$9,MATCH(E180,'Tax Residency Eligibility'!$A$4:$A$9,0),MATCH($A180,'Tax Residency Eligibility'!$B$3:$G$3,0)),"?"))="N"),"No",IF(OR(IF(C180="","", IFERROR(INDEX('Tax Residency Eligibility'!$B$4:$G$9,MATCH(C180,'Tax Residency Eligibility'!$A$4:$A$9,0),MATCH($A180,'Tax Residency Eligibility'!$B$3:$G$3,0)),"?"))="Check",IF(D180="","", IFERROR(INDEX('Tax Residency Eligibility'!$B$4:$G$9,MATCH(D180,'Tax Residency Eligibility'!$A$4:$A$9,0),MATCH($A180,'Tax Residency Eligibility'!$B$3:$G$3,0)),"?"))="Check",IF(E180="","", IFERROR(INDEX('Tax Residency Eligibility'!$B$4:$G$9,MATCH(E180,'Tax Residency Eligibility'!$A$4:$A$9,0),MATCH($A180,'Tax Residency Eligibility'!$B$3:$G$3,0)),"?"))="Check"),"Check directly","Yes"))</f>
        <v/>
      </c>
      <c r="G180" s="16">
        <f>IFERROR(VLOOKUP(C180,'Broker Fees'!$A$4:$G$9,7,0),0)+IF(D180="",0,IFERROR(VLOOKUP(D180,'Broker Fees'!$A$4:$G$9,7,0),0))+IF(E180="",0,IFERROR(VLOOKUP(E180,'Broker Fees'!$A$4:$G$9,7,0),0))</f>
        <v/>
      </c>
      <c r="H18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0" s="18">
        <f>VLOOKUP($A180,'Capital Gains Tax'!$A$4:$D$9,2,0)</f>
        <v/>
      </c>
      <c r="J180" s="18">
        <f>VLOOKUP($A180,'Capital Gains Tax'!$A$4:$D$9,3,0)</f>
        <v/>
      </c>
    </row>
    <row r="181" ht="15" customHeight="1">
      <c r="A181" s="9" t="inlineStr">
        <is>
          <t>CH</t>
        </is>
      </c>
      <c r="B181" s="9" t="inlineStr">
        <is>
          <t>Saxo+Swissquote</t>
        </is>
      </c>
      <c r="C181" s="15" t="inlineStr">
        <is>
          <t>Saxo</t>
        </is>
      </c>
      <c r="D181" s="15" t="inlineStr">
        <is>
          <t>Swissquote</t>
        </is>
      </c>
      <c r="E181" s="15" t="n"/>
      <c r="F181" s="9">
        <f>IF(OR(IF(C181="","", IFERROR(INDEX('Tax Residency Eligibility'!$B$4:$G$9,MATCH(C181,'Tax Residency Eligibility'!$A$4:$A$9,0),MATCH($A181,'Tax Residency Eligibility'!$B$3:$G$3,0)),"?"))="N",IF(D181="","", IFERROR(INDEX('Tax Residency Eligibility'!$B$4:$G$9,MATCH(D181,'Tax Residency Eligibility'!$A$4:$A$9,0),MATCH($A181,'Tax Residency Eligibility'!$B$3:$G$3,0)),"?"))="N",IF(E181="","", IFERROR(INDEX('Tax Residency Eligibility'!$B$4:$G$9,MATCH(E181,'Tax Residency Eligibility'!$A$4:$A$9,0),MATCH($A181,'Tax Residency Eligibility'!$B$3:$G$3,0)),"?"))="N"),"No",IF(OR(IF(C181="","", IFERROR(INDEX('Tax Residency Eligibility'!$B$4:$G$9,MATCH(C181,'Tax Residency Eligibility'!$A$4:$A$9,0),MATCH($A181,'Tax Residency Eligibility'!$B$3:$G$3,0)),"?"))="Check",IF(D181="","", IFERROR(INDEX('Tax Residency Eligibility'!$B$4:$G$9,MATCH(D181,'Tax Residency Eligibility'!$A$4:$A$9,0),MATCH($A181,'Tax Residency Eligibility'!$B$3:$G$3,0)),"?"))="Check",IF(E181="","", IFERROR(INDEX('Tax Residency Eligibility'!$B$4:$G$9,MATCH(E181,'Tax Residency Eligibility'!$A$4:$A$9,0),MATCH($A181,'Tax Residency Eligibility'!$B$3:$G$3,0)),"?"))="Check"),"Check directly","Yes"))</f>
        <v/>
      </c>
      <c r="G181" s="16">
        <f>IFERROR(VLOOKUP(C181,'Broker Fees'!$A$4:$G$9,7,0),0)+IF(D181="",0,IFERROR(VLOOKUP(D181,'Broker Fees'!$A$4:$G$9,7,0),0))+IF(E181="",0,IFERROR(VLOOKUP(E181,'Broker Fees'!$A$4:$G$9,7,0),0))</f>
        <v/>
      </c>
      <c r="H18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1" s="18">
        <f>VLOOKUP($A181,'Capital Gains Tax'!$A$4:$D$9,2,0)</f>
        <v/>
      </c>
      <c r="J181" s="18">
        <f>VLOOKUP($A181,'Capital Gains Tax'!$A$4:$D$9,3,0)</f>
        <v/>
      </c>
    </row>
    <row r="182" ht="15" customHeight="1">
      <c r="A182" s="9" t="inlineStr">
        <is>
          <t>CH</t>
        </is>
      </c>
      <c r="B182" s="9" t="inlineStr">
        <is>
          <t>Saxo+XTB</t>
        </is>
      </c>
      <c r="C182" s="15" t="inlineStr">
        <is>
          <t>Saxo</t>
        </is>
      </c>
      <c r="D182" s="15" t="inlineStr">
        <is>
          <t>XTB</t>
        </is>
      </c>
      <c r="E182" s="15" t="n"/>
      <c r="F182" s="9">
        <f>IF(OR(IF(C182="","", IFERROR(INDEX('Tax Residency Eligibility'!$B$4:$G$9,MATCH(C182,'Tax Residency Eligibility'!$A$4:$A$9,0),MATCH($A182,'Tax Residency Eligibility'!$B$3:$G$3,0)),"?"))="N",IF(D182="","", IFERROR(INDEX('Tax Residency Eligibility'!$B$4:$G$9,MATCH(D182,'Tax Residency Eligibility'!$A$4:$A$9,0),MATCH($A182,'Tax Residency Eligibility'!$B$3:$G$3,0)),"?"))="N",IF(E182="","", IFERROR(INDEX('Tax Residency Eligibility'!$B$4:$G$9,MATCH(E182,'Tax Residency Eligibility'!$A$4:$A$9,0),MATCH($A182,'Tax Residency Eligibility'!$B$3:$G$3,0)),"?"))="N"),"No",IF(OR(IF(C182="","", IFERROR(INDEX('Tax Residency Eligibility'!$B$4:$G$9,MATCH(C182,'Tax Residency Eligibility'!$A$4:$A$9,0),MATCH($A182,'Tax Residency Eligibility'!$B$3:$G$3,0)),"?"))="Check",IF(D182="","", IFERROR(INDEX('Tax Residency Eligibility'!$B$4:$G$9,MATCH(D182,'Tax Residency Eligibility'!$A$4:$A$9,0),MATCH($A182,'Tax Residency Eligibility'!$B$3:$G$3,0)),"?"))="Check",IF(E182="","", IFERROR(INDEX('Tax Residency Eligibility'!$B$4:$G$9,MATCH(E182,'Tax Residency Eligibility'!$A$4:$A$9,0),MATCH($A182,'Tax Residency Eligibility'!$B$3:$G$3,0)),"?"))="Check"),"Check directly","Yes"))</f>
        <v/>
      </c>
      <c r="G182" s="16">
        <f>IFERROR(VLOOKUP(C182,'Broker Fees'!$A$4:$G$9,7,0),0)+IF(D182="",0,IFERROR(VLOOKUP(D182,'Broker Fees'!$A$4:$G$9,7,0),0))+IF(E182="",0,IFERROR(VLOOKUP(E182,'Broker Fees'!$A$4:$G$9,7,0),0))</f>
        <v/>
      </c>
      <c r="H18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2" s="18">
        <f>VLOOKUP($A182,'Capital Gains Tax'!$A$4:$D$9,2,0)</f>
        <v/>
      </c>
      <c r="J182" s="18">
        <f>VLOOKUP($A182,'Capital Gains Tax'!$A$4:$D$9,3,0)</f>
        <v/>
      </c>
    </row>
    <row r="183" ht="15" customHeight="1">
      <c r="A183" s="9" t="inlineStr">
        <is>
          <t>CH</t>
        </is>
      </c>
      <c r="B183" s="9" t="inlineStr">
        <is>
          <t>Wio+Exante</t>
        </is>
      </c>
      <c r="C183" s="15" t="inlineStr">
        <is>
          <t>Wio</t>
        </is>
      </c>
      <c r="D183" s="15" t="inlineStr">
        <is>
          <t>Exante</t>
        </is>
      </c>
      <c r="E183" s="15" t="n"/>
      <c r="F183" s="9">
        <f>IF(OR(IF(C183="","", IFERROR(INDEX('Tax Residency Eligibility'!$B$4:$G$9,MATCH(C183,'Tax Residency Eligibility'!$A$4:$A$9,0),MATCH($A183,'Tax Residency Eligibility'!$B$3:$G$3,0)),"?"))="N",IF(D183="","", IFERROR(INDEX('Tax Residency Eligibility'!$B$4:$G$9,MATCH(D183,'Tax Residency Eligibility'!$A$4:$A$9,0),MATCH($A183,'Tax Residency Eligibility'!$B$3:$G$3,0)),"?"))="N",IF(E183="","", IFERROR(INDEX('Tax Residency Eligibility'!$B$4:$G$9,MATCH(E183,'Tax Residency Eligibility'!$A$4:$A$9,0),MATCH($A183,'Tax Residency Eligibility'!$B$3:$G$3,0)),"?"))="N"),"No",IF(OR(IF(C183="","", IFERROR(INDEX('Tax Residency Eligibility'!$B$4:$G$9,MATCH(C183,'Tax Residency Eligibility'!$A$4:$A$9,0),MATCH($A183,'Tax Residency Eligibility'!$B$3:$G$3,0)),"?"))="Check",IF(D183="","", IFERROR(INDEX('Tax Residency Eligibility'!$B$4:$G$9,MATCH(D183,'Tax Residency Eligibility'!$A$4:$A$9,0),MATCH($A183,'Tax Residency Eligibility'!$B$3:$G$3,0)),"?"))="Check",IF(E183="","", IFERROR(INDEX('Tax Residency Eligibility'!$B$4:$G$9,MATCH(E183,'Tax Residency Eligibility'!$A$4:$A$9,0),MATCH($A183,'Tax Residency Eligibility'!$B$3:$G$3,0)),"?"))="Check"),"Check directly","Yes"))</f>
        <v/>
      </c>
      <c r="G183" s="16">
        <f>IFERROR(VLOOKUP(C183,'Broker Fees'!$A$4:$G$9,7,0),0)+IF(D183="",0,IFERROR(VLOOKUP(D183,'Broker Fees'!$A$4:$G$9,7,0),0))+IF(E183="",0,IFERROR(VLOOKUP(E183,'Broker Fees'!$A$4:$G$9,7,0),0))</f>
        <v/>
      </c>
      <c r="H18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3" s="18">
        <f>VLOOKUP($A183,'Capital Gains Tax'!$A$4:$D$9,2,0)</f>
        <v/>
      </c>
      <c r="J183" s="18">
        <f>VLOOKUP($A183,'Capital Gains Tax'!$A$4:$D$9,3,0)</f>
        <v/>
      </c>
    </row>
    <row r="184" ht="15" customHeight="1">
      <c r="A184" s="9" t="inlineStr">
        <is>
          <t>CH</t>
        </is>
      </c>
      <c r="B184" s="9" t="inlineStr">
        <is>
          <t>Wio+Swissquote</t>
        </is>
      </c>
      <c r="C184" s="15" t="inlineStr">
        <is>
          <t>Wio</t>
        </is>
      </c>
      <c r="D184" s="15" t="inlineStr">
        <is>
          <t>Swissquote</t>
        </is>
      </c>
      <c r="E184" s="15" t="n"/>
      <c r="F184" s="9">
        <f>IF(OR(IF(C184="","", IFERROR(INDEX('Tax Residency Eligibility'!$B$4:$G$9,MATCH(C184,'Tax Residency Eligibility'!$A$4:$A$9,0),MATCH($A184,'Tax Residency Eligibility'!$B$3:$G$3,0)),"?"))="N",IF(D184="","", IFERROR(INDEX('Tax Residency Eligibility'!$B$4:$G$9,MATCH(D184,'Tax Residency Eligibility'!$A$4:$A$9,0),MATCH($A184,'Tax Residency Eligibility'!$B$3:$G$3,0)),"?"))="N",IF(E184="","", IFERROR(INDEX('Tax Residency Eligibility'!$B$4:$G$9,MATCH(E184,'Tax Residency Eligibility'!$A$4:$A$9,0),MATCH($A184,'Tax Residency Eligibility'!$B$3:$G$3,0)),"?"))="N"),"No",IF(OR(IF(C184="","", IFERROR(INDEX('Tax Residency Eligibility'!$B$4:$G$9,MATCH(C184,'Tax Residency Eligibility'!$A$4:$A$9,0),MATCH($A184,'Tax Residency Eligibility'!$B$3:$G$3,0)),"?"))="Check",IF(D184="","", IFERROR(INDEX('Tax Residency Eligibility'!$B$4:$G$9,MATCH(D184,'Tax Residency Eligibility'!$A$4:$A$9,0),MATCH($A184,'Tax Residency Eligibility'!$B$3:$G$3,0)),"?"))="Check",IF(E184="","", IFERROR(INDEX('Tax Residency Eligibility'!$B$4:$G$9,MATCH(E184,'Tax Residency Eligibility'!$A$4:$A$9,0),MATCH($A184,'Tax Residency Eligibility'!$B$3:$G$3,0)),"?"))="Check"),"Check directly","Yes"))</f>
        <v/>
      </c>
      <c r="G184" s="16">
        <f>IFERROR(VLOOKUP(C184,'Broker Fees'!$A$4:$G$9,7,0),0)+IF(D184="",0,IFERROR(VLOOKUP(D184,'Broker Fees'!$A$4:$G$9,7,0),0))+IF(E184="",0,IFERROR(VLOOKUP(E184,'Broker Fees'!$A$4:$G$9,7,0),0))</f>
        <v/>
      </c>
      <c r="H18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4" s="18">
        <f>VLOOKUP($A184,'Capital Gains Tax'!$A$4:$D$9,2,0)</f>
        <v/>
      </c>
      <c r="J184" s="18">
        <f>VLOOKUP($A184,'Capital Gains Tax'!$A$4:$D$9,3,0)</f>
        <v/>
      </c>
    </row>
    <row r="185" ht="15" customHeight="1">
      <c r="A185" s="9" t="inlineStr">
        <is>
          <t>CH</t>
        </is>
      </c>
      <c r="B185" s="9" t="inlineStr">
        <is>
          <t>Wio+XTB</t>
        </is>
      </c>
      <c r="C185" s="15" t="inlineStr">
        <is>
          <t>Wio</t>
        </is>
      </c>
      <c r="D185" s="15" t="inlineStr">
        <is>
          <t>XTB</t>
        </is>
      </c>
      <c r="E185" s="15" t="n"/>
      <c r="F185" s="9">
        <f>IF(OR(IF(C185="","", IFERROR(INDEX('Tax Residency Eligibility'!$B$4:$G$9,MATCH(C185,'Tax Residency Eligibility'!$A$4:$A$9,0),MATCH($A185,'Tax Residency Eligibility'!$B$3:$G$3,0)),"?"))="N",IF(D185="","", IFERROR(INDEX('Tax Residency Eligibility'!$B$4:$G$9,MATCH(D185,'Tax Residency Eligibility'!$A$4:$A$9,0),MATCH($A185,'Tax Residency Eligibility'!$B$3:$G$3,0)),"?"))="N",IF(E185="","", IFERROR(INDEX('Tax Residency Eligibility'!$B$4:$G$9,MATCH(E185,'Tax Residency Eligibility'!$A$4:$A$9,0),MATCH($A185,'Tax Residency Eligibility'!$B$3:$G$3,0)),"?"))="N"),"No",IF(OR(IF(C185="","", IFERROR(INDEX('Tax Residency Eligibility'!$B$4:$G$9,MATCH(C185,'Tax Residency Eligibility'!$A$4:$A$9,0),MATCH($A185,'Tax Residency Eligibility'!$B$3:$G$3,0)),"?"))="Check",IF(D185="","", IFERROR(INDEX('Tax Residency Eligibility'!$B$4:$G$9,MATCH(D185,'Tax Residency Eligibility'!$A$4:$A$9,0),MATCH($A185,'Tax Residency Eligibility'!$B$3:$G$3,0)),"?"))="Check",IF(E185="","", IFERROR(INDEX('Tax Residency Eligibility'!$B$4:$G$9,MATCH(E185,'Tax Residency Eligibility'!$A$4:$A$9,0),MATCH($A185,'Tax Residency Eligibility'!$B$3:$G$3,0)),"?"))="Check"),"Check directly","Yes"))</f>
        <v/>
      </c>
      <c r="G185" s="16">
        <f>IFERROR(VLOOKUP(C185,'Broker Fees'!$A$4:$G$9,7,0),0)+IF(D185="",0,IFERROR(VLOOKUP(D185,'Broker Fees'!$A$4:$G$9,7,0),0))+IF(E185="",0,IFERROR(VLOOKUP(E185,'Broker Fees'!$A$4:$G$9,7,0),0))</f>
        <v/>
      </c>
      <c r="H18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5" s="18">
        <f>VLOOKUP($A185,'Capital Gains Tax'!$A$4:$D$9,2,0)</f>
        <v/>
      </c>
      <c r="J185" s="18">
        <f>VLOOKUP($A185,'Capital Gains Tax'!$A$4:$D$9,3,0)</f>
        <v/>
      </c>
    </row>
    <row r="186" ht="15" customHeight="1">
      <c r="A186" s="9" t="inlineStr">
        <is>
          <t>CH</t>
        </is>
      </c>
      <c r="B186" s="9" t="inlineStr">
        <is>
          <t>Exante+Swissquote</t>
        </is>
      </c>
      <c r="C186" s="15" t="inlineStr">
        <is>
          <t>Exante</t>
        </is>
      </c>
      <c r="D186" s="15" t="inlineStr">
        <is>
          <t>Swissquote</t>
        </is>
      </c>
      <c r="E186" s="15" t="n"/>
      <c r="F186" s="9">
        <f>IF(OR(IF(C186="","", IFERROR(INDEX('Tax Residency Eligibility'!$B$4:$G$9,MATCH(C186,'Tax Residency Eligibility'!$A$4:$A$9,0),MATCH($A186,'Tax Residency Eligibility'!$B$3:$G$3,0)),"?"))="N",IF(D186="","", IFERROR(INDEX('Tax Residency Eligibility'!$B$4:$G$9,MATCH(D186,'Tax Residency Eligibility'!$A$4:$A$9,0),MATCH($A186,'Tax Residency Eligibility'!$B$3:$G$3,0)),"?"))="N",IF(E186="","", IFERROR(INDEX('Tax Residency Eligibility'!$B$4:$G$9,MATCH(E186,'Tax Residency Eligibility'!$A$4:$A$9,0),MATCH($A186,'Tax Residency Eligibility'!$B$3:$G$3,0)),"?"))="N"),"No",IF(OR(IF(C186="","", IFERROR(INDEX('Tax Residency Eligibility'!$B$4:$G$9,MATCH(C186,'Tax Residency Eligibility'!$A$4:$A$9,0),MATCH($A186,'Tax Residency Eligibility'!$B$3:$G$3,0)),"?"))="Check",IF(D186="","", IFERROR(INDEX('Tax Residency Eligibility'!$B$4:$G$9,MATCH(D186,'Tax Residency Eligibility'!$A$4:$A$9,0),MATCH($A186,'Tax Residency Eligibility'!$B$3:$G$3,0)),"?"))="Check",IF(E186="","", IFERROR(INDEX('Tax Residency Eligibility'!$B$4:$G$9,MATCH(E186,'Tax Residency Eligibility'!$A$4:$A$9,0),MATCH($A186,'Tax Residency Eligibility'!$B$3:$G$3,0)),"?"))="Check"),"Check directly","Yes"))</f>
        <v/>
      </c>
      <c r="G186" s="16">
        <f>IFERROR(VLOOKUP(C186,'Broker Fees'!$A$4:$G$9,7,0),0)+IF(D186="",0,IFERROR(VLOOKUP(D186,'Broker Fees'!$A$4:$G$9,7,0),0))+IF(E186="",0,IFERROR(VLOOKUP(E186,'Broker Fees'!$A$4:$G$9,7,0),0))</f>
        <v/>
      </c>
      <c r="H18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6" s="18">
        <f>VLOOKUP($A186,'Capital Gains Tax'!$A$4:$D$9,2,0)</f>
        <v/>
      </c>
      <c r="J186" s="18">
        <f>VLOOKUP($A186,'Capital Gains Tax'!$A$4:$D$9,3,0)</f>
        <v/>
      </c>
    </row>
    <row r="187" ht="15" customHeight="1">
      <c r="A187" s="9" t="inlineStr">
        <is>
          <t>CH</t>
        </is>
      </c>
      <c r="B187" s="9" t="inlineStr">
        <is>
          <t>Exante+XTB</t>
        </is>
      </c>
      <c r="C187" s="15" t="inlineStr">
        <is>
          <t>Exante</t>
        </is>
      </c>
      <c r="D187" s="15" t="inlineStr">
        <is>
          <t>XTB</t>
        </is>
      </c>
      <c r="E187" s="15" t="n"/>
      <c r="F187" s="9">
        <f>IF(OR(IF(C187="","", IFERROR(INDEX('Tax Residency Eligibility'!$B$4:$G$9,MATCH(C187,'Tax Residency Eligibility'!$A$4:$A$9,0),MATCH($A187,'Tax Residency Eligibility'!$B$3:$G$3,0)),"?"))="N",IF(D187="","", IFERROR(INDEX('Tax Residency Eligibility'!$B$4:$G$9,MATCH(D187,'Tax Residency Eligibility'!$A$4:$A$9,0),MATCH($A187,'Tax Residency Eligibility'!$B$3:$G$3,0)),"?"))="N",IF(E187="","", IFERROR(INDEX('Tax Residency Eligibility'!$B$4:$G$9,MATCH(E187,'Tax Residency Eligibility'!$A$4:$A$9,0),MATCH($A187,'Tax Residency Eligibility'!$B$3:$G$3,0)),"?"))="N"),"No",IF(OR(IF(C187="","", IFERROR(INDEX('Tax Residency Eligibility'!$B$4:$G$9,MATCH(C187,'Tax Residency Eligibility'!$A$4:$A$9,0),MATCH($A187,'Tax Residency Eligibility'!$B$3:$G$3,0)),"?"))="Check",IF(D187="","", IFERROR(INDEX('Tax Residency Eligibility'!$B$4:$G$9,MATCH(D187,'Tax Residency Eligibility'!$A$4:$A$9,0),MATCH($A187,'Tax Residency Eligibility'!$B$3:$G$3,0)),"?"))="Check",IF(E187="","", IFERROR(INDEX('Tax Residency Eligibility'!$B$4:$G$9,MATCH(E187,'Tax Residency Eligibility'!$A$4:$A$9,0),MATCH($A187,'Tax Residency Eligibility'!$B$3:$G$3,0)),"?"))="Check"),"Check directly","Yes"))</f>
        <v/>
      </c>
      <c r="G187" s="16">
        <f>IFERROR(VLOOKUP(C187,'Broker Fees'!$A$4:$G$9,7,0),0)+IF(D187="",0,IFERROR(VLOOKUP(D187,'Broker Fees'!$A$4:$G$9,7,0),0))+IF(E187="",0,IFERROR(VLOOKUP(E187,'Broker Fees'!$A$4:$G$9,7,0),0))</f>
        <v/>
      </c>
      <c r="H18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7" s="18">
        <f>VLOOKUP($A187,'Capital Gains Tax'!$A$4:$D$9,2,0)</f>
        <v/>
      </c>
      <c r="J187" s="18">
        <f>VLOOKUP($A187,'Capital Gains Tax'!$A$4:$D$9,3,0)</f>
        <v/>
      </c>
    </row>
    <row r="188" ht="15" customHeight="1">
      <c r="A188" s="9" t="inlineStr">
        <is>
          <t>CH</t>
        </is>
      </c>
      <c r="B188" s="9" t="inlineStr">
        <is>
          <t>Swissquote+XTB</t>
        </is>
      </c>
      <c r="C188" s="15" t="inlineStr">
        <is>
          <t>Swissquote</t>
        </is>
      </c>
      <c r="D188" s="15" t="inlineStr">
        <is>
          <t>XTB</t>
        </is>
      </c>
      <c r="E188" s="15" t="n"/>
      <c r="F188" s="9">
        <f>IF(OR(IF(C188="","", IFERROR(INDEX('Tax Residency Eligibility'!$B$4:$G$9,MATCH(C188,'Tax Residency Eligibility'!$A$4:$A$9,0),MATCH($A188,'Tax Residency Eligibility'!$B$3:$G$3,0)),"?"))="N",IF(D188="","", IFERROR(INDEX('Tax Residency Eligibility'!$B$4:$G$9,MATCH(D188,'Tax Residency Eligibility'!$A$4:$A$9,0),MATCH($A188,'Tax Residency Eligibility'!$B$3:$G$3,0)),"?"))="N",IF(E188="","", IFERROR(INDEX('Tax Residency Eligibility'!$B$4:$G$9,MATCH(E188,'Tax Residency Eligibility'!$A$4:$A$9,0),MATCH($A188,'Tax Residency Eligibility'!$B$3:$G$3,0)),"?"))="N"),"No",IF(OR(IF(C188="","", IFERROR(INDEX('Tax Residency Eligibility'!$B$4:$G$9,MATCH(C188,'Tax Residency Eligibility'!$A$4:$A$9,0),MATCH($A188,'Tax Residency Eligibility'!$B$3:$G$3,0)),"?"))="Check",IF(D188="","", IFERROR(INDEX('Tax Residency Eligibility'!$B$4:$G$9,MATCH(D188,'Tax Residency Eligibility'!$A$4:$A$9,0),MATCH($A188,'Tax Residency Eligibility'!$B$3:$G$3,0)),"?"))="Check",IF(E188="","", IFERROR(INDEX('Tax Residency Eligibility'!$B$4:$G$9,MATCH(E188,'Tax Residency Eligibility'!$A$4:$A$9,0),MATCH($A188,'Tax Residency Eligibility'!$B$3:$G$3,0)),"?"))="Check"),"Check directly","Yes"))</f>
        <v/>
      </c>
      <c r="G188" s="16">
        <f>IFERROR(VLOOKUP(C188,'Broker Fees'!$A$4:$G$9,7,0),0)+IF(D188="",0,IFERROR(VLOOKUP(D188,'Broker Fees'!$A$4:$G$9,7,0),0))+IF(E188="",0,IFERROR(VLOOKUP(E188,'Broker Fees'!$A$4:$G$9,7,0),0))</f>
        <v/>
      </c>
      <c r="H18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8" s="18">
        <f>VLOOKUP($A188,'Capital Gains Tax'!$A$4:$D$9,2,0)</f>
        <v/>
      </c>
      <c r="J188" s="18">
        <f>VLOOKUP($A188,'Capital Gains Tax'!$A$4:$D$9,3,0)</f>
        <v/>
      </c>
    </row>
    <row r="189" ht="15" customHeight="1">
      <c r="A189" s="9" t="inlineStr">
        <is>
          <t>CH</t>
        </is>
      </c>
      <c r="B189" s="9" t="inlineStr">
        <is>
          <t>IBKR+Saxo+Wio</t>
        </is>
      </c>
      <c r="C189" s="15" t="inlineStr">
        <is>
          <t>IBKR</t>
        </is>
      </c>
      <c r="D189" s="15" t="inlineStr">
        <is>
          <t>Saxo</t>
        </is>
      </c>
      <c r="E189" s="15" t="inlineStr">
        <is>
          <t>Wio</t>
        </is>
      </c>
      <c r="F189" s="9">
        <f>IF(OR(IF(C189="","", IFERROR(INDEX('Tax Residency Eligibility'!$B$4:$G$9,MATCH(C189,'Tax Residency Eligibility'!$A$4:$A$9,0),MATCH($A189,'Tax Residency Eligibility'!$B$3:$G$3,0)),"?"))="N",IF(D189="","", IFERROR(INDEX('Tax Residency Eligibility'!$B$4:$G$9,MATCH(D189,'Tax Residency Eligibility'!$A$4:$A$9,0),MATCH($A189,'Tax Residency Eligibility'!$B$3:$G$3,0)),"?"))="N",IF(E189="","", IFERROR(INDEX('Tax Residency Eligibility'!$B$4:$G$9,MATCH(E189,'Tax Residency Eligibility'!$A$4:$A$9,0),MATCH($A189,'Tax Residency Eligibility'!$B$3:$G$3,0)),"?"))="N"),"No",IF(OR(IF(C189="","", IFERROR(INDEX('Tax Residency Eligibility'!$B$4:$G$9,MATCH(C189,'Tax Residency Eligibility'!$A$4:$A$9,0),MATCH($A189,'Tax Residency Eligibility'!$B$3:$G$3,0)),"?"))="Check",IF(D189="","", IFERROR(INDEX('Tax Residency Eligibility'!$B$4:$G$9,MATCH(D189,'Tax Residency Eligibility'!$A$4:$A$9,0),MATCH($A189,'Tax Residency Eligibility'!$B$3:$G$3,0)),"?"))="Check",IF(E189="","", IFERROR(INDEX('Tax Residency Eligibility'!$B$4:$G$9,MATCH(E189,'Tax Residency Eligibility'!$A$4:$A$9,0),MATCH($A189,'Tax Residency Eligibility'!$B$3:$G$3,0)),"?"))="Check"),"Check directly","Yes"))</f>
        <v/>
      </c>
      <c r="G189" s="16">
        <f>IFERROR(VLOOKUP(C189,'Broker Fees'!$A$4:$G$9,7,0),0)+IF(D189="",0,IFERROR(VLOOKUP(D189,'Broker Fees'!$A$4:$G$9,7,0),0))+IF(E189="",0,IFERROR(VLOOKUP(E189,'Broker Fees'!$A$4:$G$9,7,0),0))</f>
        <v/>
      </c>
      <c r="H18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89" s="18">
        <f>VLOOKUP($A189,'Capital Gains Tax'!$A$4:$D$9,2,0)</f>
        <v/>
      </c>
      <c r="J189" s="18">
        <f>VLOOKUP($A189,'Capital Gains Tax'!$A$4:$D$9,3,0)</f>
        <v/>
      </c>
    </row>
    <row r="190" ht="15" customHeight="1">
      <c r="A190" s="9" t="inlineStr">
        <is>
          <t>CH</t>
        </is>
      </c>
      <c r="B190" s="9" t="inlineStr">
        <is>
          <t>IBKR+Saxo+Exante</t>
        </is>
      </c>
      <c r="C190" s="15" t="inlineStr">
        <is>
          <t>IBKR</t>
        </is>
      </c>
      <c r="D190" s="15" t="inlineStr">
        <is>
          <t>Saxo</t>
        </is>
      </c>
      <c r="E190" s="15" t="inlineStr">
        <is>
          <t>Exante</t>
        </is>
      </c>
      <c r="F190" s="9">
        <f>IF(OR(IF(C190="","", IFERROR(INDEX('Tax Residency Eligibility'!$B$4:$G$9,MATCH(C190,'Tax Residency Eligibility'!$A$4:$A$9,0),MATCH($A190,'Tax Residency Eligibility'!$B$3:$G$3,0)),"?"))="N",IF(D190="","", IFERROR(INDEX('Tax Residency Eligibility'!$B$4:$G$9,MATCH(D190,'Tax Residency Eligibility'!$A$4:$A$9,0),MATCH($A190,'Tax Residency Eligibility'!$B$3:$G$3,0)),"?"))="N",IF(E190="","", IFERROR(INDEX('Tax Residency Eligibility'!$B$4:$G$9,MATCH(E190,'Tax Residency Eligibility'!$A$4:$A$9,0),MATCH($A190,'Tax Residency Eligibility'!$B$3:$G$3,0)),"?"))="N"),"No",IF(OR(IF(C190="","", IFERROR(INDEX('Tax Residency Eligibility'!$B$4:$G$9,MATCH(C190,'Tax Residency Eligibility'!$A$4:$A$9,0),MATCH($A190,'Tax Residency Eligibility'!$B$3:$G$3,0)),"?"))="Check",IF(D190="","", IFERROR(INDEX('Tax Residency Eligibility'!$B$4:$G$9,MATCH(D190,'Tax Residency Eligibility'!$A$4:$A$9,0),MATCH($A190,'Tax Residency Eligibility'!$B$3:$G$3,0)),"?"))="Check",IF(E190="","", IFERROR(INDEX('Tax Residency Eligibility'!$B$4:$G$9,MATCH(E190,'Tax Residency Eligibility'!$A$4:$A$9,0),MATCH($A190,'Tax Residency Eligibility'!$B$3:$G$3,0)),"?"))="Check"),"Check directly","Yes"))</f>
        <v/>
      </c>
      <c r="G190" s="16">
        <f>IFERROR(VLOOKUP(C190,'Broker Fees'!$A$4:$G$9,7,0),0)+IF(D190="",0,IFERROR(VLOOKUP(D190,'Broker Fees'!$A$4:$G$9,7,0),0))+IF(E190="",0,IFERROR(VLOOKUP(E190,'Broker Fees'!$A$4:$G$9,7,0),0))</f>
        <v/>
      </c>
      <c r="H19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0" s="18">
        <f>VLOOKUP($A190,'Capital Gains Tax'!$A$4:$D$9,2,0)</f>
        <v/>
      </c>
      <c r="J190" s="18">
        <f>VLOOKUP($A190,'Capital Gains Tax'!$A$4:$D$9,3,0)</f>
        <v/>
      </c>
    </row>
    <row r="191" ht="15" customHeight="1">
      <c r="A191" s="9" t="inlineStr">
        <is>
          <t>CH</t>
        </is>
      </c>
      <c r="B191" s="9" t="inlineStr">
        <is>
          <t>IBKR+Saxo+Swissquote</t>
        </is>
      </c>
      <c r="C191" s="15" t="inlineStr">
        <is>
          <t>IBKR</t>
        </is>
      </c>
      <c r="D191" s="15" t="inlineStr">
        <is>
          <t>Saxo</t>
        </is>
      </c>
      <c r="E191" s="15" t="inlineStr">
        <is>
          <t>Swissquote</t>
        </is>
      </c>
      <c r="F191" s="9">
        <f>IF(OR(IF(C191="","", IFERROR(INDEX('Tax Residency Eligibility'!$B$4:$G$9,MATCH(C191,'Tax Residency Eligibility'!$A$4:$A$9,0),MATCH($A191,'Tax Residency Eligibility'!$B$3:$G$3,0)),"?"))="N",IF(D191="","", IFERROR(INDEX('Tax Residency Eligibility'!$B$4:$G$9,MATCH(D191,'Tax Residency Eligibility'!$A$4:$A$9,0),MATCH($A191,'Tax Residency Eligibility'!$B$3:$G$3,0)),"?"))="N",IF(E191="","", IFERROR(INDEX('Tax Residency Eligibility'!$B$4:$G$9,MATCH(E191,'Tax Residency Eligibility'!$A$4:$A$9,0),MATCH($A191,'Tax Residency Eligibility'!$B$3:$G$3,0)),"?"))="N"),"No",IF(OR(IF(C191="","", IFERROR(INDEX('Tax Residency Eligibility'!$B$4:$G$9,MATCH(C191,'Tax Residency Eligibility'!$A$4:$A$9,0),MATCH($A191,'Tax Residency Eligibility'!$B$3:$G$3,0)),"?"))="Check",IF(D191="","", IFERROR(INDEX('Tax Residency Eligibility'!$B$4:$G$9,MATCH(D191,'Tax Residency Eligibility'!$A$4:$A$9,0),MATCH($A191,'Tax Residency Eligibility'!$B$3:$G$3,0)),"?"))="Check",IF(E191="","", IFERROR(INDEX('Tax Residency Eligibility'!$B$4:$G$9,MATCH(E191,'Tax Residency Eligibility'!$A$4:$A$9,0),MATCH($A191,'Tax Residency Eligibility'!$B$3:$G$3,0)),"?"))="Check"),"Check directly","Yes"))</f>
        <v/>
      </c>
      <c r="G191" s="16">
        <f>IFERROR(VLOOKUP(C191,'Broker Fees'!$A$4:$G$9,7,0),0)+IF(D191="",0,IFERROR(VLOOKUP(D191,'Broker Fees'!$A$4:$G$9,7,0),0))+IF(E191="",0,IFERROR(VLOOKUP(E191,'Broker Fees'!$A$4:$G$9,7,0),0))</f>
        <v/>
      </c>
      <c r="H19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1" s="18">
        <f>VLOOKUP($A191,'Capital Gains Tax'!$A$4:$D$9,2,0)</f>
        <v/>
      </c>
      <c r="J191" s="18">
        <f>VLOOKUP($A191,'Capital Gains Tax'!$A$4:$D$9,3,0)</f>
        <v/>
      </c>
    </row>
    <row r="192" ht="15" customHeight="1">
      <c r="A192" s="9" t="inlineStr">
        <is>
          <t>CH</t>
        </is>
      </c>
      <c r="B192" s="9" t="inlineStr">
        <is>
          <t>IBKR+Saxo+XTB</t>
        </is>
      </c>
      <c r="C192" s="15" t="inlineStr">
        <is>
          <t>IBKR</t>
        </is>
      </c>
      <c r="D192" s="15" t="inlineStr">
        <is>
          <t>Saxo</t>
        </is>
      </c>
      <c r="E192" s="15" t="inlineStr">
        <is>
          <t>XTB</t>
        </is>
      </c>
      <c r="F192" s="9">
        <f>IF(OR(IF(C192="","", IFERROR(INDEX('Tax Residency Eligibility'!$B$4:$G$9,MATCH(C192,'Tax Residency Eligibility'!$A$4:$A$9,0),MATCH($A192,'Tax Residency Eligibility'!$B$3:$G$3,0)),"?"))="N",IF(D192="","", IFERROR(INDEX('Tax Residency Eligibility'!$B$4:$G$9,MATCH(D192,'Tax Residency Eligibility'!$A$4:$A$9,0),MATCH($A192,'Tax Residency Eligibility'!$B$3:$G$3,0)),"?"))="N",IF(E192="","", IFERROR(INDEX('Tax Residency Eligibility'!$B$4:$G$9,MATCH(E192,'Tax Residency Eligibility'!$A$4:$A$9,0),MATCH($A192,'Tax Residency Eligibility'!$B$3:$G$3,0)),"?"))="N"),"No",IF(OR(IF(C192="","", IFERROR(INDEX('Tax Residency Eligibility'!$B$4:$G$9,MATCH(C192,'Tax Residency Eligibility'!$A$4:$A$9,0),MATCH($A192,'Tax Residency Eligibility'!$B$3:$G$3,0)),"?"))="Check",IF(D192="","", IFERROR(INDEX('Tax Residency Eligibility'!$B$4:$G$9,MATCH(D192,'Tax Residency Eligibility'!$A$4:$A$9,0),MATCH($A192,'Tax Residency Eligibility'!$B$3:$G$3,0)),"?"))="Check",IF(E192="","", IFERROR(INDEX('Tax Residency Eligibility'!$B$4:$G$9,MATCH(E192,'Tax Residency Eligibility'!$A$4:$A$9,0),MATCH($A192,'Tax Residency Eligibility'!$B$3:$G$3,0)),"?"))="Check"),"Check directly","Yes"))</f>
        <v/>
      </c>
      <c r="G192" s="16">
        <f>IFERROR(VLOOKUP(C192,'Broker Fees'!$A$4:$G$9,7,0),0)+IF(D192="",0,IFERROR(VLOOKUP(D192,'Broker Fees'!$A$4:$G$9,7,0),0))+IF(E192="",0,IFERROR(VLOOKUP(E192,'Broker Fees'!$A$4:$G$9,7,0),0))</f>
        <v/>
      </c>
      <c r="H19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2" s="18">
        <f>VLOOKUP($A192,'Capital Gains Tax'!$A$4:$D$9,2,0)</f>
        <v/>
      </c>
      <c r="J192" s="18">
        <f>VLOOKUP($A192,'Capital Gains Tax'!$A$4:$D$9,3,0)</f>
        <v/>
      </c>
    </row>
    <row r="193" ht="15" customHeight="1">
      <c r="A193" s="9" t="inlineStr">
        <is>
          <t>CH</t>
        </is>
      </c>
      <c r="B193" s="9" t="inlineStr">
        <is>
          <t>IBKR+Wio+Exante</t>
        </is>
      </c>
      <c r="C193" s="15" t="inlineStr">
        <is>
          <t>IBKR</t>
        </is>
      </c>
      <c r="D193" s="15" t="inlineStr">
        <is>
          <t>Wio</t>
        </is>
      </c>
      <c r="E193" s="15" t="inlineStr">
        <is>
          <t>Exante</t>
        </is>
      </c>
      <c r="F193" s="9">
        <f>IF(OR(IF(C193="","", IFERROR(INDEX('Tax Residency Eligibility'!$B$4:$G$9,MATCH(C193,'Tax Residency Eligibility'!$A$4:$A$9,0),MATCH($A193,'Tax Residency Eligibility'!$B$3:$G$3,0)),"?"))="N",IF(D193="","", IFERROR(INDEX('Tax Residency Eligibility'!$B$4:$G$9,MATCH(D193,'Tax Residency Eligibility'!$A$4:$A$9,0),MATCH($A193,'Tax Residency Eligibility'!$B$3:$G$3,0)),"?"))="N",IF(E193="","", IFERROR(INDEX('Tax Residency Eligibility'!$B$4:$G$9,MATCH(E193,'Tax Residency Eligibility'!$A$4:$A$9,0),MATCH($A193,'Tax Residency Eligibility'!$B$3:$G$3,0)),"?"))="N"),"No",IF(OR(IF(C193="","", IFERROR(INDEX('Tax Residency Eligibility'!$B$4:$G$9,MATCH(C193,'Tax Residency Eligibility'!$A$4:$A$9,0),MATCH($A193,'Tax Residency Eligibility'!$B$3:$G$3,0)),"?"))="Check",IF(D193="","", IFERROR(INDEX('Tax Residency Eligibility'!$B$4:$G$9,MATCH(D193,'Tax Residency Eligibility'!$A$4:$A$9,0),MATCH($A193,'Tax Residency Eligibility'!$B$3:$G$3,0)),"?"))="Check",IF(E193="","", IFERROR(INDEX('Tax Residency Eligibility'!$B$4:$G$9,MATCH(E193,'Tax Residency Eligibility'!$A$4:$A$9,0),MATCH($A193,'Tax Residency Eligibility'!$B$3:$G$3,0)),"?"))="Check"),"Check directly","Yes"))</f>
        <v/>
      </c>
      <c r="G193" s="16">
        <f>IFERROR(VLOOKUP(C193,'Broker Fees'!$A$4:$G$9,7,0),0)+IF(D193="",0,IFERROR(VLOOKUP(D193,'Broker Fees'!$A$4:$G$9,7,0),0))+IF(E193="",0,IFERROR(VLOOKUP(E193,'Broker Fees'!$A$4:$G$9,7,0),0))</f>
        <v/>
      </c>
      <c r="H19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3" s="18">
        <f>VLOOKUP($A193,'Capital Gains Tax'!$A$4:$D$9,2,0)</f>
        <v/>
      </c>
      <c r="J193" s="18">
        <f>VLOOKUP($A193,'Capital Gains Tax'!$A$4:$D$9,3,0)</f>
        <v/>
      </c>
    </row>
    <row r="194" ht="15" customHeight="1">
      <c r="A194" s="9" t="inlineStr">
        <is>
          <t>CH</t>
        </is>
      </c>
      <c r="B194" s="9" t="inlineStr">
        <is>
          <t>IBKR+Wio+Swissquote</t>
        </is>
      </c>
      <c r="C194" s="15" t="inlineStr">
        <is>
          <t>IBKR</t>
        </is>
      </c>
      <c r="D194" s="15" t="inlineStr">
        <is>
          <t>Wio</t>
        </is>
      </c>
      <c r="E194" s="15" t="inlineStr">
        <is>
          <t>Swissquote</t>
        </is>
      </c>
      <c r="F194" s="9">
        <f>IF(OR(IF(C194="","", IFERROR(INDEX('Tax Residency Eligibility'!$B$4:$G$9,MATCH(C194,'Tax Residency Eligibility'!$A$4:$A$9,0),MATCH($A194,'Tax Residency Eligibility'!$B$3:$G$3,0)),"?"))="N",IF(D194="","", IFERROR(INDEX('Tax Residency Eligibility'!$B$4:$G$9,MATCH(D194,'Tax Residency Eligibility'!$A$4:$A$9,0),MATCH($A194,'Tax Residency Eligibility'!$B$3:$G$3,0)),"?"))="N",IF(E194="","", IFERROR(INDEX('Tax Residency Eligibility'!$B$4:$G$9,MATCH(E194,'Tax Residency Eligibility'!$A$4:$A$9,0),MATCH($A194,'Tax Residency Eligibility'!$B$3:$G$3,0)),"?"))="N"),"No",IF(OR(IF(C194="","", IFERROR(INDEX('Tax Residency Eligibility'!$B$4:$G$9,MATCH(C194,'Tax Residency Eligibility'!$A$4:$A$9,0),MATCH($A194,'Tax Residency Eligibility'!$B$3:$G$3,0)),"?"))="Check",IF(D194="","", IFERROR(INDEX('Tax Residency Eligibility'!$B$4:$G$9,MATCH(D194,'Tax Residency Eligibility'!$A$4:$A$9,0),MATCH($A194,'Tax Residency Eligibility'!$B$3:$G$3,0)),"?"))="Check",IF(E194="","", IFERROR(INDEX('Tax Residency Eligibility'!$B$4:$G$9,MATCH(E194,'Tax Residency Eligibility'!$A$4:$A$9,0),MATCH($A194,'Tax Residency Eligibility'!$B$3:$G$3,0)),"?"))="Check"),"Check directly","Yes"))</f>
        <v/>
      </c>
      <c r="G194" s="16">
        <f>IFERROR(VLOOKUP(C194,'Broker Fees'!$A$4:$G$9,7,0),0)+IF(D194="",0,IFERROR(VLOOKUP(D194,'Broker Fees'!$A$4:$G$9,7,0),0))+IF(E194="",0,IFERROR(VLOOKUP(E194,'Broker Fees'!$A$4:$G$9,7,0),0))</f>
        <v/>
      </c>
      <c r="H19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4" s="18">
        <f>VLOOKUP($A194,'Capital Gains Tax'!$A$4:$D$9,2,0)</f>
        <v/>
      </c>
      <c r="J194" s="18">
        <f>VLOOKUP($A194,'Capital Gains Tax'!$A$4:$D$9,3,0)</f>
        <v/>
      </c>
    </row>
    <row r="195" ht="15" customHeight="1">
      <c r="A195" s="9" t="inlineStr">
        <is>
          <t>CH</t>
        </is>
      </c>
      <c r="B195" s="9" t="inlineStr">
        <is>
          <t>IBKR+Wio+XTB</t>
        </is>
      </c>
      <c r="C195" s="15" t="inlineStr">
        <is>
          <t>IBKR</t>
        </is>
      </c>
      <c r="D195" s="15" t="inlineStr">
        <is>
          <t>Wio</t>
        </is>
      </c>
      <c r="E195" s="15" t="inlineStr">
        <is>
          <t>XTB</t>
        </is>
      </c>
      <c r="F195" s="9">
        <f>IF(OR(IF(C195="","", IFERROR(INDEX('Tax Residency Eligibility'!$B$4:$G$9,MATCH(C195,'Tax Residency Eligibility'!$A$4:$A$9,0),MATCH($A195,'Tax Residency Eligibility'!$B$3:$G$3,0)),"?"))="N",IF(D195="","", IFERROR(INDEX('Tax Residency Eligibility'!$B$4:$G$9,MATCH(D195,'Tax Residency Eligibility'!$A$4:$A$9,0),MATCH($A195,'Tax Residency Eligibility'!$B$3:$G$3,0)),"?"))="N",IF(E195="","", IFERROR(INDEX('Tax Residency Eligibility'!$B$4:$G$9,MATCH(E195,'Tax Residency Eligibility'!$A$4:$A$9,0),MATCH($A195,'Tax Residency Eligibility'!$B$3:$G$3,0)),"?"))="N"),"No",IF(OR(IF(C195="","", IFERROR(INDEX('Tax Residency Eligibility'!$B$4:$G$9,MATCH(C195,'Tax Residency Eligibility'!$A$4:$A$9,0),MATCH($A195,'Tax Residency Eligibility'!$B$3:$G$3,0)),"?"))="Check",IF(D195="","", IFERROR(INDEX('Tax Residency Eligibility'!$B$4:$G$9,MATCH(D195,'Tax Residency Eligibility'!$A$4:$A$9,0),MATCH($A195,'Tax Residency Eligibility'!$B$3:$G$3,0)),"?"))="Check",IF(E195="","", IFERROR(INDEX('Tax Residency Eligibility'!$B$4:$G$9,MATCH(E195,'Tax Residency Eligibility'!$A$4:$A$9,0),MATCH($A195,'Tax Residency Eligibility'!$B$3:$G$3,0)),"?"))="Check"),"Check directly","Yes"))</f>
        <v/>
      </c>
      <c r="G195" s="16">
        <f>IFERROR(VLOOKUP(C195,'Broker Fees'!$A$4:$G$9,7,0),0)+IF(D195="",0,IFERROR(VLOOKUP(D195,'Broker Fees'!$A$4:$G$9,7,0),0))+IF(E195="",0,IFERROR(VLOOKUP(E195,'Broker Fees'!$A$4:$G$9,7,0),0))</f>
        <v/>
      </c>
      <c r="H19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5" s="18">
        <f>VLOOKUP($A195,'Capital Gains Tax'!$A$4:$D$9,2,0)</f>
        <v/>
      </c>
      <c r="J195" s="18">
        <f>VLOOKUP($A195,'Capital Gains Tax'!$A$4:$D$9,3,0)</f>
        <v/>
      </c>
    </row>
    <row r="196" ht="15" customHeight="1">
      <c r="A196" s="9" t="inlineStr">
        <is>
          <t>CH</t>
        </is>
      </c>
      <c r="B196" s="9" t="inlineStr">
        <is>
          <t>IBKR+Exante+Swissquote</t>
        </is>
      </c>
      <c r="C196" s="15" t="inlineStr">
        <is>
          <t>IBKR</t>
        </is>
      </c>
      <c r="D196" s="15" t="inlineStr">
        <is>
          <t>Exante</t>
        </is>
      </c>
      <c r="E196" s="15" t="inlineStr">
        <is>
          <t>Swissquote</t>
        </is>
      </c>
      <c r="F196" s="9">
        <f>IF(OR(IF(C196="","", IFERROR(INDEX('Tax Residency Eligibility'!$B$4:$G$9,MATCH(C196,'Tax Residency Eligibility'!$A$4:$A$9,0),MATCH($A196,'Tax Residency Eligibility'!$B$3:$G$3,0)),"?"))="N",IF(D196="","", IFERROR(INDEX('Tax Residency Eligibility'!$B$4:$G$9,MATCH(D196,'Tax Residency Eligibility'!$A$4:$A$9,0),MATCH($A196,'Tax Residency Eligibility'!$B$3:$G$3,0)),"?"))="N",IF(E196="","", IFERROR(INDEX('Tax Residency Eligibility'!$B$4:$G$9,MATCH(E196,'Tax Residency Eligibility'!$A$4:$A$9,0),MATCH($A196,'Tax Residency Eligibility'!$B$3:$G$3,0)),"?"))="N"),"No",IF(OR(IF(C196="","", IFERROR(INDEX('Tax Residency Eligibility'!$B$4:$G$9,MATCH(C196,'Tax Residency Eligibility'!$A$4:$A$9,0),MATCH($A196,'Tax Residency Eligibility'!$B$3:$G$3,0)),"?"))="Check",IF(D196="","", IFERROR(INDEX('Tax Residency Eligibility'!$B$4:$G$9,MATCH(D196,'Tax Residency Eligibility'!$A$4:$A$9,0),MATCH($A196,'Tax Residency Eligibility'!$B$3:$G$3,0)),"?"))="Check",IF(E196="","", IFERROR(INDEX('Tax Residency Eligibility'!$B$4:$G$9,MATCH(E196,'Tax Residency Eligibility'!$A$4:$A$9,0),MATCH($A196,'Tax Residency Eligibility'!$B$3:$G$3,0)),"?"))="Check"),"Check directly","Yes"))</f>
        <v/>
      </c>
      <c r="G196" s="16">
        <f>IFERROR(VLOOKUP(C196,'Broker Fees'!$A$4:$G$9,7,0),0)+IF(D196="",0,IFERROR(VLOOKUP(D196,'Broker Fees'!$A$4:$G$9,7,0),0))+IF(E196="",0,IFERROR(VLOOKUP(E196,'Broker Fees'!$A$4:$G$9,7,0),0))</f>
        <v/>
      </c>
      <c r="H19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6" s="18">
        <f>VLOOKUP($A196,'Capital Gains Tax'!$A$4:$D$9,2,0)</f>
        <v/>
      </c>
      <c r="J196" s="18">
        <f>VLOOKUP($A196,'Capital Gains Tax'!$A$4:$D$9,3,0)</f>
        <v/>
      </c>
    </row>
    <row r="197" ht="15" customHeight="1">
      <c r="A197" s="9" t="inlineStr">
        <is>
          <t>CH</t>
        </is>
      </c>
      <c r="B197" s="9" t="inlineStr">
        <is>
          <t>IBKR+Exante+XTB</t>
        </is>
      </c>
      <c r="C197" s="15" t="inlineStr">
        <is>
          <t>IBKR</t>
        </is>
      </c>
      <c r="D197" s="15" t="inlineStr">
        <is>
          <t>Exante</t>
        </is>
      </c>
      <c r="E197" s="15" t="inlineStr">
        <is>
          <t>XTB</t>
        </is>
      </c>
      <c r="F197" s="9">
        <f>IF(OR(IF(C197="","", IFERROR(INDEX('Tax Residency Eligibility'!$B$4:$G$9,MATCH(C197,'Tax Residency Eligibility'!$A$4:$A$9,0),MATCH($A197,'Tax Residency Eligibility'!$B$3:$G$3,0)),"?"))="N",IF(D197="","", IFERROR(INDEX('Tax Residency Eligibility'!$B$4:$G$9,MATCH(D197,'Tax Residency Eligibility'!$A$4:$A$9,0),MATCH($A197,'Tax Residency Eligibility'!$B$3:$G$3,0)),"?"))="N",IF(E197="","", IFERROR(INDEX('Tax Residency Eligibility'!$B$4:$G$9,MATCH(E197,'Tax Residency Eligibility'!$A$4:$A$9,0),MATCH($A197,'Tax Residency Eligibility'!$B$3:$G$3,0)),"?"))="N"),"No",IF(OR(IF(C197="","", IFERROR(INDEX('Tax Residency Eligibility'!$B$4:$G$9,MATCH(C197,'Tax Residency Eligibility'!$A$4:$A$9,0),MATCH($A197,'Tax Residency Eligibility'!$B$3:$G$3,0)),"?"))="Check",IF(D197="","", IFERROR(INDEX('Tax Residency Eligibility'!$B$4:$G$9,MATCH(D197,'Tax Residency Eligibility'!$A$4:$A$9,0),MATCH($A197,'Tax Residency Eligibility'!$B$3:$G$3,0)),"?"))="Check",IF(E197="","", IFERROR(INDEX('Tax Residency Eligibility'!$B$4:$G$9,MATCH(E197,'Tax Residency Eligibility'!$A$4:$A$9,0),MATCH($A197,'Tax Residency Eligibility'!$B$3:$G$3,0)),"?"))="Check"),"Check directly","Yes"))</f>
        <v/>
      </c>
      <c r="G197" s="16">
        <f>IFERROR(VLOOKUP(C197,'Broker Fees'!$A$4:$G$9,7,0),0)+IF(D197="",0,IFERROR(VLOOKUP(D197,'Broker Fees'!$A$4:$G$9,7,0),0))+IF(E197="",0,IFERROR(VLOOKUP(E197,'Broker Fees'!$A$4:$G$9,7,0),0))</f>
        <v/>
      </c>
      <c r="H19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7" s="18">
        <f>VLOOKUP($A197,'Capital Gains Tax'!$A$4:$D$9,2,0)</f>
        <v/>
      </c>
      <c r="J197" s="18">
        <f>VLOOKUP($A197,'Capital Gains Tax'!$A$4:$D$9,3,0)</f>
        <v/>
      </c>
    </row>
    <row r="198" ht="15" customHeight="1">
      <c r="A198" s="9" t="inlineStr">
        <is>
          <t>CH</t>
        </is>
      </c>
      <c r="B198" s="9" t="inlineStr">
        <is>
          <t>IBKR+Swissquote+XTB</t>
        </is>
      </c>
      <c r="C198" s="15" t="inlineStr">
        <is>
          <t>IBKR</t>
        </is>
      </c>
      <c r="D198" s="15" t="inlineStr">
        <is>
          <t>Swissquote</t>
        </is>
      </c>
      <c r="E198" s="15" t="inlineStr">
        <is>
          <t>XTB</t>
        </is>
      </c>
      <c r="F198" s="9">
        <f>IF(OR(IF(C198="","", IFERROR(INDEX('Tax Residency Eligibility'!$B$4:$G$9,MATCH(C198,'Tax Residency Eligibility'!$A$4:$A$9,0),MATCH($A198,'Tax Residency Eligibility'!$B$3:$G$3,0)),"?"))="N",IF(D198="","", IFERROR(INDEX('Tax Residency Eligibility'!$B$4:$G$9,MATCH(D198,'Tax Residency Eligibility'!$A$4:$A$9,0),MATCH($A198,'Tax Residency Eligibility'!$B$3:$G$3,0)),"?"))="N",IF(E198="","", IFERROR(INDEX('Tax Residency Eligibility'!$B$4:$G$9,MATCH(E198,'Tax Residency Eligibility'!$A$4:$A$9,0),MATCH($A198,'Tax Residency Eligibility'!$B$3:$G$3,0)),"?"))="N"),"No",IF(OR(IF(C198="","", IFERROR(INDEX('Tax Residency Eligibility'!$B$4:$G$9,MATCH(C198,'Tax Residency Eligibility'!$A$4:$A$9,0),MATCH($A198,'Tax Residency Eligibility'!$B$3:$G$3,0)),"?"))="Check",IF(D198="","", IFERROR(INDEX('Tax Residency Eligibility'!$B$4:$G$9,MATCH(D198,'Tax Residency Eligibility'!$A$4:$A$9,0),MATCH($A198,'Tax Residency Eligibility'!$B$3:$G$3,0)),"?"))="Check",IF(E198="","", IFERROR(INDEX('Tax Residency Eligibility'!$B$4:$G$9,MATCH(E198,'Tax Residency Eligibility'!$A$4:$A$9,0),MATCH($A198,'Tax Residency Eligibility'!$B$3:$G$3,0)),"?"))="Check"),"Check directly","Yes"))</f>
        <v/>
      </c>
      <c r="G198" s="16">
        <f>IFERROR(VLOOKUP(C198,'Broker Fees'!$A$4:$G$9,7,0),0)+IF(D198="",0,IFERROR(VLOOKUP(D198,'Broker Fees'!$A$4:$G$9,7,0),0))+IF(E198="",0,IFERROR(VLOOKUP(E198,'Broker Fees'!$A$4:$G$9,7,0),0))</f>
        <v/>
      </c>
      <c r="H19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8" s="18">
        <f>VLOOKUP($A198,'Capital Gains Tax'!$A$4:$D$9,2,0)</f>
        <v/>
      </c>
      <c r="J198" s="18">
        <f>VLOOKUP($A198,'Capital Gains Tax'!$A$4:$D$9,3,0)</f>
        <v/>
      </c>
    </row>
    <row r="199" ht="15" customHeight="1">
      <c r="A199" s="9" t="inlineStr">
        <is>
          <t>CH</t>
        </is>
      </c>
      <c r="B199" s="9" t="inlineStr">
        <is>
          <t>Saxo+Wio+Exante</t>
        </is>
      </c>
      <c r="C199" s="15" t="inlineStr">
        <is>
          <t>Saxo</t>
        </is>
      </c>
      <c r="D199" s="15" t="inlineStr">
        <is>
          <t>Wio</t>
        </is>
      </c>
      <c r="E199" s="15" t="inlineStr">
        <is>
          <t>Exante</t>
        </is>
      </c>
      <c r="F199" s="9">
        <f>IF(OR(IF(C199="","", IFERROR(INDEX('Tax Residency Eligibility'!$B$4:$G$9,MATCH(C199,'Tax Residency Eligibility'!$A$4:$A$9,0),MATCH($A199,'Tax Residency Eligibility'!$B$3:$G$3,0)),"?"))="N",IF(D199="","", IFERROR(INDEX('Tax Residency Eligibility'!$B$4:$G$9,MATCH(D199,'Tax Residency Eligibility'!$A$4:$A$9,0),MATCH($A199,'Tax Residency Eligibility'!$B$3:$G$3,0)),"?"))="N",IF(E199="","", IFERROR(INDEX('Tax Residency Eligibility'!$B$4:$G$9,MATCH(E199,'Tax Residency Eligibility'!$A$4:$A$9,0),MATCH($A199,'Tax Residency Eligibility'!$B$3:$G$3,0)),"?"))="N"),"No",IF(OR(IF(C199="","", IFERROR(INDEX('Tax Residency Eligibility'!$B$4:$G$9,MATCH(C199,'Tax Residency Eligibility'!$A$4:$A$9,0),MATCH($A199,'Tax Residency Eligibility'!$B$3:$G$3,0)),"?"))="Check",IF(D199="","", IFERROR(INDEX('Tax Residency Eligibility'!$B$4:$G$9,MATCH(D199,'Tax Residency Eligibility'!$A$4:$A$9,0),MATCH($A199,'Tax Residency Eligibility'!$B$3:$G$3,0)),"?"))="Check",IF(E199="","", IFERROR(INDEX('Tax Residency Eligibility'!$B$4:$G$9,MATCH(E199,'Tax Residency Eligibility'!$A$4:$A$9,0),MATCH($A199,'Tax Residency Eligibility'!$B$3:$G$3,0)),"?"))="Check"),"Check directly","Yes"))</f>
        <v/>
      </c>
      <c r="G199" s="16">
        <f>IFERROR(VLOOKUP(C199,'Broker Fees'!$A$4:$G$9,7,0),0)+IF(D199="",0,IFERROR(VLOOKUP(D199,'Broker Fees'!$A$4:$G$9,7,0),0))+IF(E199="",0,IFERROR(VLOOKUP(E199,'Broker Fees'!$A$4:$G$9,7,0),0))</f>
        <v/>
      </c>
      <c r="H19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199" s="18">
        <f>VLOOKUP($A199,'Capital Gains Tax'!$A$4:$D$9,2,0)</f>
        <v/>
      </c>
      <c r="J199" s="18">
        <f>VLOOKUP($A199,'Capital Gains Tax'!$A$4:$D$9,3,0)</f>
        <v/>
      </c>
    </row>
    <row r="200" ht="15" customHeight="1">
      <c r="A200" s="9" t="inlineStr">
        <is>
          <t>CH</t>
        </is>
      </c>
      <c r="B200" s="9" t="inlineStr">
        <is>
          <t>Saxo+Wio+Swissquote</t>
        </is>
      </c>
      <c r="C200" s="15" t="inlineStr">
        <is>
          <t>Saxo</t>
        </is>
      </c>
      <c r="D200" s="15" t="inlineStr">
        <is>
          <t>Wio</t>
        </is>
      </c>
      <c r="E200" s="15" t="inlineStr">
        <is>
          <t>Swissquote</t>
        </is>
      </c>
      <c r="F200" s="9">
        <f>IF(OR(IF(C200="","", IFERROR(INDEX('Tax Residency Eligibility'!$B$4:$G$9,MATCH(C200,'Tax Residency Eligibility'!$A$4:$A$9,0),MATCH($A200,'Tax Residency Eligibility'!$B$3:$G$3,0)),"?"))="N",IF(D200="","", IFERROR(INDEX('Tax Residency Eligibility'!$B$4:$G$9,MATCH(D200,'Tax Residency Eligibility'!$A$4:$A$9,0),MATCH($A200,'Tax Residency Eligibility'!$B$3:$G$3,0)),"?"))="N",IF(E200="","", IFERROR(INDEX('Tax Residency Eligibility'!$B$4:$G$9,MATCH(E200,'Tax Residency Eligibility'!$A$4:$A$9,0),MATCH($A200,'Tax Residency Eligibility'!$B$3:$G$3,0)),"?"))="N"),"No",IF(OR(IF(C200="","", IFERROR(INDEX('Tax Residency Eligibility'!$B$4:$G$9,MATCH(C200,'Tax Residency Eligibility'!$A$4:$A$9,0),MATCH($A200,'Tax Residency Eligibility'!$B$3:$G$3,0)),"?"))="Check",IF(D200="","", IFERROR(INDEX('Tax Residency Eligibility'!$B$4:$G$9,MATCH(D200,'Tax Residency Eligibility'!$A$4:$A$9,0),MATCH($A200,'Tax Residency Eligibility'!$B$3:$G$3,0)),"?"))="Check",IF(E200="","", IFERROR(INDEX('Tax Residency Eligibility'!$B$4:$G$9,MATCH(E200,'Tax Residency Eligibility'!$A$4:$A$9,0),MATCH($A200,'Tax Residency Eligibility'!$B$3:$G$3,0)),"?"))="Check"),"Check directly","Yes"))</f>
        <v/>
      </c>
      <c r="G200" s="16">
        <f>IFERROR(VLOOKUP(C200,'Broker Fees'!$A$4:$G$9,7,0),0)+IF(D200="",0,IFERROR(VLOOKUP(D200,'Broker Fees'!$A$4:$G$9,7,0),0))+IF(E200="",0,IFERROR(VLOOKUP(E200,'Broker Fees'!$A$4:$G$9,7,0),0))</f>
        <v/>
      </c>
      <c r="H20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0" s="18">
        <f>VLOOKUP($A200,'Capital Gains Tax'!$A$4:$D$9,2,0)</f>
        <v/>
      </c>
      <c r="J200" s="18">
        <f>VLOOKUP($A200,'Capital Gains Tax'!$A$4:$D$9,3,0)</f>
        <v/>
      </c>
    </row>
    <row r="201" ht="15" customHeight="1">
      <c r="A201" s="9" t="inlineStr">
        <is>
          <t>CH</t>
        </is>
      </c>
      <c r="B201" s="9" t="inlineStr">
        <is>
          <t>Saxo+Wio+XTB</t>
        </is>
      </c>
      <c r="C201" s="15" t="inlineStr">
        <is>
          <t>Saxo</t>
        </is>
      </c>
      <c r="D201" s="15" t="inlineStr">
        <is>
          <t>Wio</t>
        </is>
      </c>
      <c r="E201" s="15" t="inlineStr">
        <is>
          <t>XTB</t>
        </is>
      </c>
      <c r="F201" s="9">
        <f>IF(OR(IF(C201="","", IFERROR(INDEX('Tax Residency Eligibility'!$B$4:$G$9,MATCH(C201,'Tax Residency Eligibility'!$A$4:$A$9,0),MATCH($A201,'Tax Residency Eligibility'!$B$3:$G$3,0)),"?"))="N",IF(D201="","", IFERROR(INDEX('Tax Residency Eligibility'!$B$4:$G$9,MATCH(D201,'Tax Residency Eligibility'!$A$4:$A$9,0),MATCH($A201,'Tax Residency Eligibility'!$B$3:$G$3,0)),"?"))="N",IF(E201="","", IFERROR(INDEX('Tax Residency Eligibility'!$B$4:$G$9,MATCH(E201,'Tax Residency Eligibility'!$A$4:$A$9,0),MATCH($A201,'Tax Residency Eligibility'!$B$3:$G$3,0)),"?"))="N"),"No",IF(OR(IF(C201="","", IFERROR(INDEX('Tax Residency Eligibility'!$B$4:$G$9,MATCH(C201,'Tax Residency Eligibility'!$A$4:$A$9,0),MATCH($A201,'Tax Residency Eligibility'!$B$3:$G$3,0)),"?"))="Check",IF(D201="","", IFERROR(INDEX('Tax Residency Eligibility'!$B$4:$G$9,MATCH(D201,'Tax Residency Eligibility'!$A$4:$A$9,0),MATCH($A201,'Tax Residency Eligibility'!$B$3:$G$3,0)),"?"))="Check",IF(E201="","", IFERROR(INDEX('Tax Residency Eligibility'!$B$4:$G$9,MATCH(E201,'Tax Residency Eligibility'!$A$4:$A$9,0),MATCH($A201,'Tax Residency Eligibility'!$B$3:$G$3,0)),"?"))="Check"),"Check directly","Yes"))</f>
        <v/>
      </c>
      <c r="G201" s="16">
        <f>IFERROR(VLOOKUP(C201,'Broker Fees'!$A$4:$G$9,7,0),0)+IF(D201="",0,IFERROR(VLOOKUP(D201,'Broker Fees'!$A$4:$G$9,7,0),0))+IF(E201="",0,IFERROR(VLOOKUP(E201,'Broker Fees'!$A$4:$G$9,7,0),0))</f>
        <v/>
      </c>
      <c r="H20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1" s="18">
        <f>VLOOKUP($A201,'Capital Gains Tax'!$A$4:$D$9,2,0)</f>
        <v/>
      </c>
      <c r="J201" s="18">
        <f>VLOOKUP($A201,'Capital Gains Tax'!$A$4:$D$9,3,0)</f>
        <v/>
      </c>
    </row>
    <row r="202" ht="15" customHeight="1">
      <c r="A202" s="9" t="inlineStr">
        <is>
          <t>CH</t>
        </is>
      </c>
      <c r="B202" s="9" t="inlineStr">
        <is>
          <t>Saxo+Exante+Swissquote</t>
        </is>
      </c>
      <c r="C202" s="15" t="inlineStr">
        <is>
          <t>Saxo</t>
        </is>
      </c>
      <c r="D202" s="15" t="inlineStr">
        <is>
          <t>Exante</t>
        </is>
      </c>
      <c r="E202" s="15" t="inlineStr">
        <is>
          <t>Swissquote</t>
        </is>
      </c>
      <c r="F202" s="9">
        <f>IF(OR(IF(C202="","", IFERROR(INDEX('Tax Residency Eligibility'!$B$4:$G$9,MATCH(C202,'Tax Residency Eligibility'!$A$4:$A$9,0),MATCH($A202,'Tax Residency Eligibility'!$B$3:$G$3,0)),"?"))="N",IF(D202="","", IFERROR(INDEX('Tax Residency Eligibility'!$B$4:$G$9,MATCH(D202,'Tax Residency Eligibility'!$A$4:$A$9,0),MATCH($A202,'Tax Residency Eligibility'!$B$3:$G$3,0)),"?"))="N",IF(E202="","", IFERROR(INDEX('Tax Residency Eligibility'!$B$4:$G$9,MATCH(E202,'Tax Residency Eligibility'!$A$4:$A$9,0),MATCH($A202,'Tax Residency Eligibility'!$B$3:$G$3,0)),"?"))="N"),"No",IF(OR(IF(C202="","", IFERROR(INDEX('Tax Residency Eligibility'!$B$4:$G$9,MATCH(C202,'Tax Residency Eligibility'!$A$4:$A$9,0),MATCH($A202,'Tax Residency Eligibility'!$B$3:$G$3,0)),"?"))="Check",IF(D202="","", IFERROR(INDEX('Tax Residency Eligibility'!$B$4:$G$9,MATCH(D202,'Tax Residency Eligibility'!$A$4:$A$9,0),MATCH($A202,'Tax Residency Eligibility'!$B$3:$G$3,0)),"?"))="Check",IF(E202="","", IFERROR(INDEX('Tax Residency Eligibility'!$B$4:$G$9,MATCH(E202,'Tax Residency Eligibility'!$A$4:$A$9,0),MATCH($A202,'Tax Residency Eligibility'!$B$3:$G$3,0)),"?"))="Check"),"Check directly","Yes"))</f>
        <v/>
      </c>
      <c r="G202" s="16">
        <f>IFERROR(VLOOKUP(C202,'Broker Fees'!$A$4:$G$9,7,0),0)+IF(D202="",0,IFERROR(VLOOKUP(D202,'Broker Fees'!$A$4:$G$9,7,0),0))+IF(E202="",0,IFERROR(VLOOKUP(E202,'Broker Fees'!$A$4:$G$9,7,0),0))</f>
        <v/>
      </c>
      <c r="H20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2" s="18">
        <f>VLOOKUP($A202,'Capital Gains Tax'!$A$4:$D$9,2,0)</f>
        <v/>
      </c>
      <c r="J202" s="18">
        <f>VLOOKUP($A202,'Capital Gains Tax'!$A$4:$D$9,3,0)</f>
        <v/>
      </c>
    </row>
    <row r="203" ht="15" customHeight="1">
      <c r="A203" s="9" t="inlineStr">
        <is>
          <t>CH</t>
        </is>
      </c>
      <c r="B203" s="9" t="inlineStr">
        <is>
          <t>Saxo+Exante+XTB</t>
        </is>
      </c>
      <c r="C203" s="15" t="inlineStr">
        <is>
          <t>Saxo</t>
        </is>
      </c>
      <c r="D203" s="15" t="inlineStr">
        <is>
          <t>Exante</t>
        </is>
      </c>
      <c r="E203" s="15" t="inlineStr">
        <is>
          <t>XTB</t>
        </is>
      </c>
      <c r="F203" s="9">
        <f>IF(OR(IF(C203="","", IFERROR(INDEX('Tax Residency Eligibility'!$B$4:$G$9,MATCH(C203,'Tax Residency Eligibility'!$A$4:$A$9,0),MATCH($A203,'Tax Residency Eligibility'!$B$3:$G$3,0)),"?"))="N",IF(D203="","", IFERROR(INDEX('Tax Residency Eligibility'!$B$4:$G$9,MATCH(D203,'Tax Residency Eligibility'!$A$4:$A$9,0),MATCH($A203,'Tax Residency Eligibility'!$B$3:$G$3,0)),"?"))="N",IF(E203="","", IFERROR(INDEX('Tax Residency Eligibility'!$B$4:$G$9,MATCH(E203,'Tax Residency Eligibility'!$A$4:$A$9,0),MATCH($A203,'Tax Residency Eligibility'!$B$3:$G$3,0)),"?"))="N"),"No",IF(OR(IF(C203="","", IFERROR(INDEX('Tax Residency Eligibility'!$B$4:$G$9,MATCH(C203,'Tax Residency Eligibility'!$A$4:$A$9,0),MATCH($A203,'Tax Residency Eligibility'!$B$3:$G$3,0)),"?"))="Check",IF(D203="","", IFERROR(INDEX('Tax Residency Eligibility'!$B$4:$G$9,MATCH(D203,'Tax Residency Eligibility'!$A$4:$A$9,0),MATCH($A203,'Tax Residency Eligibility'!$B$3:$G$3,0)),"?"))="Check",IF(E203="","", IFERROR(INDEX('Tax Residency Eligibility'!$B$4:$G$9,MATCH(E203,'Tax Residency Eligibility'!$A$4:$A$9,0),MATCH($A203,'Tax Residency Eligibility'!$B$3:$G$3,0)),"?"))="Check"),"Check directly","Yes"))</f>
        <v/>
      </c>
      <c r="G203" s="16">
        <f>IFERROR(VLOOKUP(C203,'Broker Fees'!$A$4:$G$9,7,0),0)+IF(D203="",0,IFERROR(VLOOKUP(D203,'Broker Fees'!$A$4:$G$9,7,0),0))+IF(E203="",0,IFERROR(VLOOKUP(E203,'Broker Fees'!$A$4:$G$9,7,0),0))</f>
        <v/>
      </c>
      <c r="H20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3" s="18">
        <f>VLOOKUP($A203,'Capital Gains Tax'!$A$4:$D$9,2,0)</f>
        <v/>
      </c>
      <c r="J203" s="18">
        <f>VLOOKUP($A203,'Capital Gains Tax'!$A$4:$D$9,3,0)</f>
        <v/>
      </c>
    </row>
    <row r="204" ht="15" customHeight="1">
      <c r="A204" s="9" t="inlineStr">
        <is>
          <t>CH</t>
        </is>
      </c>
      <c r="B204" s="9" t="inlineStr">
        <is>
          <t>Saxo+Swissquote+XTB</t>
        </is>
      </c>
      <c r="C204" s="15" t="inlineStr">
        <is>
          <t>Saxo</t>
        </is>
      </c>
      <c r="D204" s="15" t="inlineStr">
        <is>
          <t>Swissquote</t>
        </is>
      </c>
      <c r="E204" s="15" t="inlineStr">
        <is>
          <t>XTB</t>
        </is>
      </c>
      <c r="F204" s="9">
        <f>IF(OR(IF(C204="","", IFERROR(INDEX('Tax Residency Eligibility'!$B$4:$G$9,MATCH(C204,'Tax Residency Eligibility'!$A$4:$A$9,0),MATCH($A204,'Tax Residency Eligibility'!$B$3:$G$3,0)),"?"))="N",IF(D204="","", IFERROR(INDEX('Tax Residency Eligibility'!$B$4:$G$9,MATCH(D204,'Tax Residency Eligibility'!$A$4:$A$9,0),MATCH($A204,'Tax Residency Eligibility'!$B$3:$G$3,0)),"?"))="N",IF(E204="","", IFERROR(INDEX('Tax Residency Eligibility'!$B$4:$G$9,MATCH(E204,'Tax Residency Eligibility'!$A$4:$A$9,0),MATCH($A204,'Tax Residency Eligibility'!$B$3:$G$3,0)),"?"))="N"),"No",IF(OR(IF(C204="","", IFERROR(INDEX('Tax Residency Eligibility'!$B$4:$G$9,MATCH(C204,'Tax Residency Eligibility'!$A$4:$A$9,0),MATCH($A204,'Tax Residency Eligibility'!$B$3:$G$3,0)),"?"))="Check",IF(D204="","", IFERROR(INDEX('Tax Residency Eligibility'!$B$4:$G$9,MATCH(D204,'Tax Residency Eligibility'!$A$4:$A$9,0),MATCH($A204,'Tax Residency Eligibility'!$B$3:$G$3,0)),"?"))="Check",IF(E204="","", IFERROR(INDEX('Tax Residency Eligibility'!$B$4:$G$9,MATCH(E204,'Tax Residency Eligibility'!$A$4:$A$9,0),MATCH($A204,'Tax Residency Eligibility'!$B$3:$G$3,0)),"?"))="Check"),"Check directly","Yes"))</f>
        <v/>
      </c>
      <c r="G204" s="16">
        <f>IFERROR(VLOOKUP(C204,'Broker Fees'!$A$4:$G$9,7,0),0)+IF(D204="",0,IFERROR(VLOOKUP(D204,'Broker Fees'!$A$4:$G$9,7,0),0))+IF(E204="",0,IFERROR(VLOOKUP(E204,'Broker Fees'!$A$4:$G$9,7,0),0))</f>
        <v/>
      </c>
      <c r="H20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4" s="18">
        <f>VLOOKUP($A204,'Capital Gains Tax'!$A$4:$D$9,2,0)</f>
        <v/>
      </c>
      <c r="J204" s="18">
        <f>VLOOKUP($A204,'Capital Gains Tax'!$A$4:$D$9,3,0)</f>
        <v/>
      </c>
    </row>
    <row r="205" ht="15" customHeight="1">
      <c r="A205" s="9" t="inlineStr">
        <is>
          <t>CH</t>
        </is>
      </c>
      <c r="B205" s="9" t="inlineStr">
        <is>
          <t>Wio+Exante+Swissquote</t>
        </is>
      </c>
      <c r="C205" s="15" t="inlineStr">
        <is>
          <t>Wio</t>
        </is>
      </c>
      <c r="D205" s="15" t="inlineStr">
        <is>
          <t>Exante</t>
        </is>
      </c>
      <c r="E205" s="15" t="inlineStr">
        <is>
          <t>Swissquote</t>
        </is>
      </c>
      <c r="F205" s="9">
        <f>IF(OR(IF(C205="","", IFERROR(INDEX('Tax Residency Eligibility'!$B$4:$G$9,MATCH(C205,'Tax Residency Eligibility'!$A$4:$A$9,0),MATCH($A205,'Tax Residency Eligibility'!$B$3:$G$3,0)),"?"))="N",IF(D205="","", IFERROR(INDEX('Tax Residency Eligibility'!$B$4:$G$9,MATCH(D205,'Tax Residency Eligibility'!$A$4:$A$9,0),MATCH($A205,'Tax Residency Eligibility'!$B$3:$G$3,0)),"?"))="N",IF(E205="","", IFERROR(INDEX('Tax Residency Eligibility'!$B$4:$G$9,MATCH(E205,'Tax Residency Eligibility'!$A$4:$A$9,0),MATCH($A205,'Tax Residency Eligibility'!$B$3:$G$3,0)),"?"))="N"),"No",IF(OR(IF(C205="","", IFERROR(INDEX('Tax Residency Eligibility'!$B$4:$G$9,MATCH(C205,'Tax Residency Eligibility'!$A$4:$A$9,0),MATCH($A205,'Tax Residency Eligibility'!$B$3:$G$3,0)),"?"))="Check",IF(D205="","", IFERROR(INDEX('Tax Residency Eligibility'!$B$4:$G$9,MATCH(D205,'Tax Residency Eligibility'!$A$4:$A$9,0),MATCH($A205,'Tax Residency Eligibility'!$B$3:$G$3,0)),"?"))="Check",IF(E205="","", IFERROR(INDEX('Tax Residency Eligibility'!$B$4:$G$9,MATCH(E205,'Tax Residency Eligibility'!$A$4:$A$9,0),MATCH($A205,'Tax Residency Eligibility'!$B$3:$G$3,0)),"?"))="Check"),"Check directly","Yes"))</f>
        <v/>
      </c>
      <c r="G205" s="16">
        <f>IFERROR(VLOOKUP(C205,'Broker Fees'!$A$4:$G$9,7,0),0)+IF(D205="",0,IFERROR(VLOOKUP(D205,'Broker Fees'!$A$4:$G$9,7,0),0))+IF(E205="",0,IFERROR(VLOOKUP(E205,'Broker Fees'!$A$4:$G$9,7,0),0))</f>
        <v/>
      </c>
      <c r="H20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5" s="18">
        <f>VLOOKUP($A205,'Capital Gains Tax'!$A$4:$D$9,2,0)</f>
        <v/>
      </c>
      <c r="J205" s="18">
        <f>VLOOKUP($A205,'Capital Gains Tax'!$A$4:$D$9,3,0)</f>
        <v/>
      </c>
    </row>
    <row r="206" ht="15" customHeight="1">
      <c r="A206" s="9" t="inlineStr">
        <is>
          <t>CH</t>
        </is>
      </c>
      <c r="B206" s="9" t="inlineStr">
        <is>
          <t>Wio+Exante+XTB</t>
        </is>
      </c>
      <c r="C206" s="15" t="inlineStr">
        <is>
          <t>Wio</t>
        </is>
      </c>
      <c r="D206" s="15" t="inlineStr">
        <is>
          <t>Exante</t>
        </is>
      </c>
      <c r="E206" s="15" t="inlineStr">
        <is>
          <t>XTB</t>
        </is>
      </c>
      <c r="F206" s="9">
        <f>IF(OR(IF(C206="","", IFERROR(INDEX('Tax Residency Eligibility'!$B$4:$G$9,MATCH(C206,'Tax Residency Eligibility'!$A$4:$A$9,0),MATCH($A206,'Tax Residency Eligibility'!$B$3:$G$3,0)),"?"))="N",IF(D206="","", IFERROR(INDEX('Tax Residency Eligibility'!$B$4:$G$9,MATCH(D206,'Tax Residency Eligibility'!$A$4:$A$9,0),MATCH($A206,'Tax Residency Eligibility'!$B$3:$G$3,0)),"?"))="N",IF(E206="","", IFERROR(INDEX('Tax Residency Eligibility'!$B$4:$G$9,MATCH(E206,'Tax Residency Eligibility'!$A$4:$A$9,0),MATCH($A206,'Tax Residency Eligibility'!$B$3:$G$3,0)),"?"))="N"),"No",IF(OR(IF(C206="","", IFERROR(INDEX('Tax Residency Eligibility'!$B$4:$G$9,MATCH(C206,'Tax Residency Eligibility'!$A$4:$A$9,0),MATCH($A206,'Tax Residency Eligibility'!$B$3:$G$3,0)),"?"))="Check",IF(D206="","", IFERROR(INDEX('Tax Residency Eligibility'!$B$4:$G$9,MATCH(D206,'Tax Residency Eligibility'!$A$4:$A$9,0),MATCH($A206,'Tax Residency Eligibility'!$B$3:$G$3,0)),"?"))="Check",IF(E206="","", IFERROR(INDEX('Tax Residency Eligibility'!$B$4:$G$9,MATCH(E206,'Tax Residency Eligibility'!$A$4:$A$9,0),MATCH($A206,'Tax Residency Eligibility'!$B$3:$G$3,0)),"?"))="Check"),"Check directly","Yes"))</f>
        <v/>
      </c>
      <c r="G206" s="16">
        <f>IFERROR(VLOOKUP(C206,'Broker Fees'!$A$4:$G$9,7,0),0)+IF(D206="",0,IFERROR(VLOOKUP(D206,'Broker Fees'!$A$4:$G$9,7,0),0))+IF(E206="",0,IFERROR(VLOOKUP(E206,'Broker Fees'!$A$4:$G$9,7,0),0))</f>
        <v/>
      </c>
      <c r="H20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6" s="18">
        <f>VLOOKUP($A206,'Capital Gains Tax'!$A$4:$D$9,2,0)</f>
        <v/>
      </c>
      <c r="J206" s="18">
        <f>VLOOKUP($A206,'Capital Gains Tax'!$A$4:$D$9,3,0)</f>
        <v/>
      </c>
    </row>
    <row r="207" ht="15" customHeight="1">
      <c r="A207" s="9" t="inlineStr">
        <is>
          <t>CH</t>
        </is>
      </c>
      <c r="B207" s="9" t="inlineStr">
        <is>
          <t>Wio+Swissquote+XTB</t>
        </is>
      </c>
      <c r="C207" s="15" t="inlineStr">
        <is>
          <t>Wio</t>
        </is>
      </c>
      <c r="D207" s="15" t="inlineStr">
        <is>
          <t>Swissquote</t>
        </is>
      </c>
      <c r="E207" s="15" t="inlineStr">
        <is>
          <t>XTB</t>
        </is>
      </c>
      <c r="F207" s="9">
        <f>IF(OR(IF(C207="","", IFERROR(INDEX('Tax Residency Eligibility'!$B$4:$G$9,MATCH(C207,'Tax Residency Eligibility'!$A$4:$A$9,0),MATCH($A207,'Tax Residency Eligibility'!$B$3:$G$3,0)),"?"))="N",IF(D207="","", IFERROR(INDEX('Tax Residency Eligibility'!$B$4:$G$9,MATCH(D207,'Tax Residency Eligibility'!$A$4:$A$9,0),MATCH($A207,'Tax Residency Eligibility'!$B$3:$G$3,0)),"?"))="N",IF(E207="","", IFERROR(INDEX('Tax Residency Eligibility'!$B$4:$G$9,MATCH(E207,'Tax Residency Eligibility'!$A$4:$A$9,0),MATCH($A207,'Tax Residency Eligibility'!$B$3:$G$3,0)),"?"))="N"),"No",IF(OR(IF(C207="","", IFERROR(INDEX('Tax Residency Eligibility'!$B$4:$G$9,MATCH(C207,'Tax Residency Eligibility'!$A$4:$A$9,0),MATCH($A207,'Tax Residency Eligibility'!$B$3:$G$3,0)),"?"))="Check",IF(D207="","", IFERROR(INDEX('Tax Residency Eligibility'!$B$4:$G$9,MATCH(D207,'Tax Residency Eligibility'!$A$4:$A$9,0),MATCH($A207,'Tax Residency Eligibility'!$B$3:$G$3,0)),"?"))="Check",IF(E207="","", IFERROR(INDEX('Tax Residency Eligibility'!$B$4:$G$9,MATCH(E207,'Tax Residency Eligibility'!$A$4:$A$9,0),MATCH($A207,'Tax Residency Eligibility'!$B$3:$G$3,0)),"?"))="Check"),"Check directly","Yes"))</f>
        <v/>
      </c>
      <c r="G207" s="16">
        <f>IFERROR(VLOOKUP(C207,'Broker Fees'!$A$4:$G$9,7,0),0)+IF(D207="",0,IFERROR(VLOOKUP(D207,'Broker Fees'!$A$4:$G$9,7,0),0))+IF(E207="",0,IFERROR(VLOOKUP(E207,'Broker Fees'!$A$4:$G$9,7,0),0))</f>
        <v/>
      </c>
      <c r="H20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7" s="18">
        <f>VLOOKUP($A207,'Capital Gains Tax'!$A$4:$D$9,2,0)</f>
        <v/>
      </c>
      <c r="J207" s="18">
        <f>VLOOKUP($A207,'Capital Gains Tax'!$A$4:$D$9,3,0)</f>
        <v/>
      </c>
    </row>
    <row r="208" ht="15" customHeight="1">
      <c r="A208" s="9" t="inlineStr">
        <is>
          <t>CH</t>
        </is>
      </c>
      <c r="B208" s="9" t="inlineStr">
        <is>
          <t>Exante+Swissquote+XTB</t>
        </is>
      </c>
      <c r="C208" s="15" t="inlineStr">
        <is>
          <t>Exante</t>
        </is>
      </c>
      <c r="D208" s="15" t="inlineStr">
        <is>
          <t>Swissquote</t>
        </is>
      </c>
      <c r="E208" s="15" t="inlineStr">
        <is>
          <t>XTB</t>
        </is>
      </c>
      <c r="F208" s="9">
        <f>IF(OR(IF(C208="","", IFERROR(INDEX('Tax Residency Eligibility'!$B$4:$G$9,MATCH(C208,'Tax Residency Eligibility'!$A$4:$A$9,0),MATCH($A208,'Tax Residency Eligibility'!$B$3:$G$3,0)),"?"))="N",IF(D208="","", IFERROR(INDEX('Tax Residency Eligibility'!$B$4:$G$9,MATCH(D208,'Tax Residency Eligibility'!$A$4:$A$9,0),MATCH($A208,'Tax Residency Eligibility'!$B$3:$G$3,0)),"?"))="N",IF(E208="","", IFERROR(INDEX('Tax Residency Eligibility'!$B$4:$G$9,MATCH(E208,'Tax Residency Eligibility'!$A$4:$A$9,0),MATCH($A208,'Tax Residency Eligibility'!$B$3:$G$3,0)),"?"))="N"),"No",IF(OR(IF(C208="","", IFERROR(INDEX('Tax Residency Eligibility'!$B$4:$G$9,MATCH(C208,'Tax Residency Eligibility'!$A$4:$A$9,0),MATCH($A208,'Tax Residency Eligibility'!$B$3:$G$3,0)),"?"))="Check",IF(D208="","", IFERROR(INDEX('Tax Residency Eligibility'!$B$4:$G$9,MATCH(D208,'Tax Residency Eligibility'!$A$4:$A$9,0),MATCH($A208,'Tax Residency Eligibility'!$B$3:$G$3,0)),"?"))="Check",IF(E208="","", IFERROR(INDEX('Tax Residency Eligibility'!$B$4:$G$9,MATCH(E208,'Tax Residency Eligibility'!$A$4:$A$9,0),MATCH($A208,'Tax Residency Eligibility'!$B$3:$G$3,0)),"?"))="Check"),"Check directly","Yes"))</f>
        <v/>
      </c>
      <c r="G208" s="16">
        <f>IFERROR(VLOOKUP(C208,'Broker Fees'!$A$4:$G$9,7,0),0)+IF(D208="",0,IFERROR(VLOOKUP(D208,'Broker Fees'!$A$4:$G$9,7,0),0))+IF(E208="",0,IFERROR(VLOOKUP(E208,'Broker Fees'!$A$4:$G$9,7,0),0))</f>
        <v/>
      </c>
      <c r="H20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8" s="18">
        <f>VLOOKUP($A208,'Capital Gains Tax'!$A$4:$D$9,2,0)</f>
        <v/>
      </c>
      <c r="J208" s="18">
        <f>VLOOKUP($A208,'Capital Gains Tax'!$A$4:$D$9,3,0)</f>
        <v/>
      </c>
    </row>
    <row r="209" ht="15" customHeight="1">
      <c r="A209" s="9" t="inlineStr">
        <is>
          <t>UA</t>
        </is>
      </c>
      <c r="B209" s="9" t="inlineStr">
        <is>
          <t>IBKR</t>
        </is>
      </c>
      <c r="C209" s="15" t="inlineStr">
        <is>
          <t>IBKR</t>
        </is>
      </c>
      <c r="D209" s="15" t="n"/>
      <c r="E209" s="15" t="n"/>
      <c r="F209" s="9">
        <f>IF(OR(IF(C209="","", IFERROR(INDEX('Tax Residency Eligibility'!$B$4:$G$9,MATCH(C209,'Tax Residency Eligibility'!$A$4:$A$9,0),MATCH($A209,'Tax Residency Eligibility'!$B$3:$G$3,0)),"?"))="N",IF(D209="","", IFERROR(INDEX('Tax Residency Eligibility'!$B$4:$G$9,MATCH(D209,'Tax Residency Eligibility'!$A$4:$A$9,0),MATCH($A209,'Tax Residency Eligibility'!$B$3:$G$3,0)),"?"))="N",IF(E209="","", IFERROR(INDEX('Tax Residency Eligibility'!$B$4:$G$9,MATCH(E209,'Tax Residency Eligibility'!$A$4:$A$9,0),MATCH($A209,'Tax Residency Eligibility'!$B$3:$G$3,0)),"?"))="N"),"No",IF(OR(IF(C209="","", IFERROR(INDEX('Tax Residency Eligibility'!$B$4:$G$9,MATCH(C209,'Tax Residency Eligibility'!$A$4:$A$9,0),MATCH($A209,'Tax Residency Eligibility'!$B$3:$G$3,0)),"?"))="Check",IF(D209="","", IFERROR(INDEX('Tax Residency Eligibility'!$B$4:$G$9,MATCH(D209,'Tax Residency Eligibility'!$A$4:$A$9,0),MATCH($A209,'Tax Residency Eligibility'!$B$3:$G$3,0)),"?"))="Check",IF(E209="","", IFERROR(INDEX('Tax Residency Eligibility'!$B$4:$G$9,MATCH(E209,'Tax Residency Eligibility'!$A$4:$A$9,0),MATCH($A209,'Tax Residency Eligibility'!$B$3:$G$3,0)),"?"))="Check"),"Check directly","Yes"))</f>
        <v/>
      </c>
      <c r="G209" s="16">
        <f>IFERROR(VLOOKUP(C209,'Broker Fees'!$A$4:$G$9,7,0),0)+IF(D209="",0,IFERROR(VLOOKUP(D209,'Broker Fees'!$A$4:$G$9,7,0),0))+IF(E209="",0,IFERROR(VLOOKUP(E209,'Broker Fees'!$A$4:$G$9,7,0),0))</f>
        <v/>
      </c>
      <c r="H20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09" s="18">
        <f>VLOOKUP($A209,'Capital Gains Tax'!$A$4:$D$9,2,0)</f>
        <v/>
      </c>
      <c r="J209" s="18">
        <f>VLOOKUP($A209,'Capital Gains Tax'!$A$4:$D$9,3,0)</f>
        <v/>
      </c>
    </row>
    <row r="210" ht="15" customHeight="1">
      <c r="A210" s="9" t="inlineStr">
        <is>
          <t>UA</t>
        </is>
      </c>
      <c r="B210" s="9" t="inlineStr">
        <is>
          <t>Saxo</t>
        </is>
      </c>
      <c r="C210" s="15" t="inlineStr">
        <is>
          <t>Saxo</t>
        </is>
      </c>
      <c r="D210" s="15" t="n"/>
      <c r="E210" s="15" t="n"/>
      <c r="F210" s="9">
        <f>IF(OR(IF(C210="","", IFERROR(INDEX('Tax Residency Eligibility'!$B$4:$G$9,MATCH(C210,'Tax Residency Eligibility'!$A$4:$A$9,0),MATCH($A210,'Tax Residency Eligibility'!$B$3:$G$3,0)),"?"))="N",IF(D210="","", IFERROR(INDEX('Tax Residency Eligibility'!$B$4:$G$9,MATCH(D210,'Tax Residency Eligibility'!$A$4:$A$9,0),MATCH($A210,'Tax Residency Eligibility'!$B$3:$G$3,0)),"?"))="N",IF(E210="","", IFERROR(INDEX('Tax Residency Eligibility'!$B$4:$G$9,MATCH(E210,'Tax Residency Eligibility'!$A$4:$A$9,0),MATCH($A210,'Tax Residency Eligibility'!$B$3:$G$3,0)),"?"))="N"),"No",IF(OR(IF(C210="","", IFERROR(INDEX('Tax Residency Eligibility'!$B$4:$G$9,MATCH(C210,'Tax Residency Eligibility'!$A$4:$A$9,0),MATCH($A210,'Tax Residency Eligibility'!$B$3:$G$3,0)),"?"))="Check",IF(D210="","", IFERROR(INDEX('Tax Residency Eligibility'!$B$4:$G$9,MATCH(D210,'Tax Residency Eligibility'!$A$4:$A$9,0),MATCH($A210,'Tax Residency Eligibility'!$B$3:$G$3,0)),"?"))="Check",IF(E210="","", IFERROR(INDEX('Tax Residency Eligibility'!$B$4:$G$9,MATCH(E210,'Tax Residency Eligibility'!$A$4:$A$9,0),MATCH($A210,'Tax Residency Eligibility'!$B$3:$G$3,0)),"?"))="Check"),"Check directly","Yes"))</f>
        <v/>
      </c>
      <c r="G210" s="16">
        <f>IFERROR(VLOOKUP(C210,'Broker Fees'!$A$4:$G$9,7,0),0)+IF(D210="",0,IFERROR(VLOOKUP(D210,'Broker Fees'!$A$4:$G$9,7,0),0))+IF(E210="",0,IFERROR(VLOOKUP(E210,'Broker Fees'!$A$4:$G$9,7,0),0))</f>
        <v/>
      </c>
      <c r="H21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0" s="18">
        <f>VLOOKUP($A210,'Capital Gains Tax'!$A$4:$D$9,2,0)</f>
        <v/>
      </c>
      <c r="J210" s="18">
        <f>VLOOKUP($A210,'Capital Gains Tax'!$A$4:$D$9,3,0)</f>
        <v/>
      </c>
    </row>
    <row r="211" ht="15" customHeight="1">
      <c r="A211" s="9" t="inlineStr">
        <is>
          <t>UA</t>
        </is>
      </c>
      <c r="B211" s="9" t="inlineStr">
        <is>
          <t>Wio</t>
        </is>
      </c>
      <c r="C211" s="15" t="inlineStr">
        <is>
          <t>Wio</t>
        </is>
      </c>
      <c r="D211" s="15" t="n"/>
      <c r="E211" s="15" t="n"/>
      <c r="F211" s="9">
        <f>IF(OR(IF(C211="","", IFERROR(INDEX('Tax Residency Eligibility'!$B$4:$G$9,MATCH(C211,'Tax Residency Eligibility'!$A$4:$A$9,0),MATCH($A211,'Tax Residency Eligibility'!$B$3:$G$3,0)),"?"))="N",IF(D211="","", IFERROR(INDEX('Tax Residency Eligibility'!$B$4:$G$9,MATCH(D211,'Tax Residency Eligibility'!$A$4:$A$9,0),MATCH($A211,'Tax Residency Eligibility'!$B$3:$G$3,0)),"?"))="N",IF(E211="","", IFERROR(INDEX('Tax Residency Eligibility'!$B$4:$G$9,MATCH(E211,'Tax Residency Eligibility'!$A$4:$A$9,0),MATCH($A211,'Tax Residency Eligibility'!$B$3:$G$3,0)),"?"))="N"),"No",IF(OR(IF(C211="","", IFERROR(INDEX('Tax Residency Eligibility'!$B$4:$G$9,MATCH(C211,'Tax Residency Eligibility'!$A$4:$A$9,0),MATCH($A211,'Tax Residency Eligibility'!$B$3:$G$3,0)),"?"))="Check",IF(D211="","", IFERROR(INDEX('Tax Residency Eligibility'!$B$4:$G$9,MATCH(D211,'Tax Residency Eligibility'!$A$4:$A$9,0),MATCH($A211,'Tax Residency Eligibility'!$B$3:$G$3,0)),"?"))="Check",IF(E211="","", IFERROR(INDEX('Tax Residency Eligibility'!$B$4:$G$9,MATCH(E211,'Tax Residency Eligibility'!$A$4:$A$9,0),MATCH($A211,'Tax Residency Eligibility'!$B$3:$G$3,0)),"?"))="Check"),"Check directly","Yes"))</f>
        <v/>
      </c>
      <c r="G211" s="16">
        <f>IFERROR(VLOOKUP(C211,'Broker Fees'!$A$4:$G$9,7,0),0)+IF(D211="",0,IFERROR(VLOOKUP(D211,'Broker Fees'!$A$4:$G$9,7,0),0))+IF(E211="",0,IFERROR(VLOOKUP(E211,'Broker Fees'!$A$4:$G$9,7,0),0))</f>
        <v/>
      </c>
      <c r="H21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1" s="18">
        <f>VLOOKUP($A211,'Capital Gains Tax'!$A$4:$D$9,2,0)</f>
        <v/>
      </c>
      <c r="J211" s="18">
        <f>VLOOKUP($A211,'Capital Gains Tax'!$A$4:$D$9,3,0)</f>
        <v/>
      </c>
    </row>
    <row r="212" ht="15" customHeight="1">
      <c r="A212" s="9" t="inlineStr">
        <is>
          <t>UA</t>
        </is>
      </c>
      <c r="B212" s="9" t="inlineStr">
        <is>
          <t>Exante</t>
        </is>
      </c>
      <c r="C212" s="15" t="inlineStr">
        <is>
          <t>Exante</t>
        </is>
      </c>
      <c r="D212" s="15" t="n"/>
      <c r="E212" s="15" t="n"/>
      <c r="F212" s="9">
        <f>IF(OR(IF(C212="","", IFERROR(INDEX('Tax Residency Eligibility'!$B$4:$G$9,MATCH(C212,'Tax Residency Eligibility'!$A$4:$A$9,0),MATCH($A212,'Tax Residency Eligibility'!$B$3:$G$3,0)),"?"))="N",IF(D212="","", IFERROR(INDEX('Tax Residency Eligibility'!$B$4:$G$9,MATCH(D212,'Tax Residency Eligibility'!$A$4:$A$9,0),MATCH($A212,'Tax Residency Eligibility'!$B$3:$G$3,0)),"?"))="N",IF(E212="","", IFERROR(INDEX('Tax Residency Eligibility'!$B$4:$G$9,MATCH(E212,'Tax Residency Eligibility'!$A$4:$A$9,0),MATCH($A212,'Tax Residency Eligibility'!$B$3:$G$3,0)),"?"))="N"),"No",IF(OR(IF(C212="","", IFERROR(INDEX('Tax Residency Eligibility'!$B$4:$G$9,MATCH(C212,'Tax Residency Eligibility'!$A$4:$A$9,0),MATCH($A212,'Tax Residency Eligibility'!$B$3:$G$3,0)),"?"))="Check",IF(D212="","", IFERROR(INDEX('Tax Residency Eligibility'!$B$4:$G$9,MATCH(D212,'Tax Residency Eligibility'!$A$4:$A$9,0),MATCH($A212,'Tax Residency Eligibility'!$B$3:$G$3,0)),"?"))="Check",IF(E212="","", IFERROR(INDEX('Tax Residency Eligibility'!$B$4:$G$9,MATCH(E212,'Tax Residency Eligibility'!$A$4:$A$9,0),MATCH($A212,'Tax Residency Eligibility'!$B$3:$G$3,0)),"?"))="Check"),"Check directly","Yes"))</f>
        <v/>
      </c>
      <c r="G212" s="16">
        <f>IFERROR(VLOOKUP(C212,'Broker Fees'!$A$4:$G$9,7,0),0)+IF(D212="",0,IFERROR(VLOOKUP(D212,'Broker Fees'!$A$4:$G$9,7,0),0))+IF(E212="",0,IFERROR(VLOOKUP(E212,'Broker Fees'!$A$4:$G$9,7,0),0))</f>
        <v/>
      </c>
      <c r="H21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2" s="18">
        <f>VLOOKUP($A212,'Capital Gains Tax'!$A$4:$D$9,2,0)</f>
        <v/>
      </c>
      <c r="J212" s="18">
        <f>VLOOKUP($A212,'Capital Gains Tax'!$A$4:$D$9,3,0)</f>
        <v/>
      </c>
    </row>
    <row r="213" ht="15" customHeight="1">
      <c r="A213" s="9" t="inlineStr">
        <is>
          <t>UA</t>
        </is>
      </c>
      <c r="B213" s="9" t="inlineStr">
        <is>
          <t>Swissquote</t>
        </is>
      </c>
      <c r="C213" s="15" t="inlineStr">
        <is>
          <t>Swissquote</t>
        </is>
      </c>
      <c r="D213" s="15" t="n"/>
      <c r="E213" s="15" t="n"/>
      <c r="F213" s="9">
        <f>IF(OR(IF(C213="","", IFERROR(INDEX('Tax Residency Eligibility'!$B$4:$G$9,MATCH(C213,'Tax Residency Eligibility'!$A$4:$A$9,0),MATCH($A213,'Tax Residency Eligibility'!$B$3:$G$3,0)),"?"))="N",IF(D213="","", IFERROR(INDEX('Tax Residency Eligibility'!$B$4:$G$9,MATCH(D213,'Tax Residency Eligibility'!$A$4:$A$9,0),MATCH($A213,'Tax Residency Eligibility'!$B$3:$G$3,0)),"?"))="N",IF(E213="","", IFERROR(INDEX('Tax Residency Eligibility'!$B$4:$G$9,MATCH(E213,'Tax Residency Eligibility'!$A$4:$A$9,0),MATCH($A213,'Tax Residency Eligibility'!$B$3:$G$3,0)),"?"))="N"),"No",IF(OR(IF(C213="","", IFERROR(INDEX('Tax Residency Eligibility'!$B$4:$G$9,MATCH(C213,'Tax Residency Eligibility'!$A$4:$A$9,0),MATCH($A213,'Tax Residency Eligibility'!$B$3:$G$3,0)),"?"))="Check",IF(D213="","", IFERROR(INDEX('Tax Residency Eligibility'!$B$4:$G$9,MATCH(D213,'Tax Residency Eligibility'!$A$4:$A$9,0),MATCH($A213,'Tax Residency Eligibility'!$B$3:$G$3,0)),"?"))="Check",IF(E213="","", IFERROR(INDEX('Tax Residency Eligibility'!$B$4:$G$9,MATCH(E213,'Tax Residency Eligibility'!$A$4:$A$9,0),MATCH($A213,'Tax Residency Eligibility'!$B$3:$G$3,0)),"?"))="Check"),"Check directly","Yes"))</f>
        <v/>
      </c>
      <c r="G213" s="16">
        <f>IFERROR(VLOOKUP(C213,'Broker Fees'!$A$4:$G$9,7,0),0)+IF(D213="",0,IFERROR(VLOOKUP(D213,'Broker Fees'!$A$4:$G$9,7,0),0))+IF(E213="",0,IFERROR(VLOOKUP(E213,'Broker Fees'!$A$4:$G$9,7,0),0))</f>
        <v/>
      </c>
      <c r="H21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3" s="18">
        <f>VLOOKUP($A213,'Capital Gains Tax'!$A$4:$D$9,2,0)</f>
        <v/>
      </c>
      <c r="J213" s="18">
        <f>VLOOKUP($A213,'Capital Gains Tax'!$A$4:$D$9,3,0)</f>
        <v/>
      </c>
    </row>
    <row r="214" ht="15" customHeight="1">
      <c r="A214" s="9" t="inlineStr">
        <is>
          <t>UA</t>
        </is>
      </c>
      <c r="B214" s="9" t="inlineStr">
        <is>
          <t>XTB</t>
        </is>
      </c>
      <c r="C214" s="15" t="inlineStr">
        <is>
          <t>XTB</t>
        </is>
      </c>
      <c r="D214" s="15" t="n"/>
      <c r="E214" s="15" t="n"/>
      <c r="F214" s="9">
        <f>IF(OR(IF(C214="","", IFERROR(INDEX('Tax Residency Eligibility'!$B$4:$G$9,MATCH(C214,'Tax Residency Eligibility'!$A$4:$A$9,0),MATCH($A214,'Tax Residency Eligibility'!$B$3:$G$3,0)),"?"))="N",IF(D214="","", IFERROR(INDEX('Tax Residency Eligibility'!$B$4:$G$9,MATCH(D214,'Tax Residency Eligibility'!$A$4:$A$9,0),MATCH($A214,'Tax Residency Eligibility'!$B$3:$G$3,0)),"?"))="N",IF(E214="","", IFERROR(INDEX('Tax Residency Eligibility'!$B$4:$G$9,MATCH(E214,'Tax Residency Eligibility'!$A$4:$A$9,0),MATCH($A214,'Tax Residency Eligibility'!$B$3:$G$3,0)),"?"))="N"),"No",IF(OR(IF(C214="","", IFERROR(INDEX('Tax Residency Eligibility'!$B$4:$G$9,MATCH(C214,'Tax Residency Eligibility'!$A$4:$A$9,0),MATCH($A214,'Tax Residency Eligibility'!$B$3:$G$3,0)),"?"))="Check",IF(D214="","", IFERROR(INDEX('Tax Residency Eligibility'!$B$4:$G$9,MATCH(D214,'Tax Residency Eligibility'!$A$4:$A$9,0),MATCH($A214,'Tax Residency Eligibility'!$B$3:$G$3,0)),"?"))="Check",IF(E214="","", IFERROR(INDEX('Tax Residency Eligibility'!$B$4:$G$9,MATCH(E214,'Tax Residency Eligibility'!$A$4:$A$9,0),MATCH($A214,'Tax Residency Eligibility'!$B$3:$G$3,0)),"?"))="Check"),"Check directly","Yes"))</f>
        <v/>
      </c>
      <c r="G214" s="16">
        <f>IFERROR(VLOOKUP(C214,'Broker Fees'!$A$4:$G$9,7,0),0)+IF(D214="",0,IFERROR(VLOOKUP(D214,'Broker Fees'!$A$4:$G$9,7,0),0))+IF(E214="",0,IFERROR(VLOOKUP(E214,'Broker Fees'!$A$4:$G$9,7,0),0))</f>
        <v/>
      </c>
      <c r="H21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4" s="18">
        <f>VLOOKUP($A214,'Capital Gains Tax'!$A$4:$D$9,2,0)</f>
        <v/>
      </c>
      <c r="J214" s="18">
        <f>VLOOKUP($A214,'Capital Gains Tax'!$A$4:$D$9,3,0)</f>
        <v/>
      </c>
    </row>
    <row r="215" ht="15" customHeight="1">
      <c r="A215" s="9" t="inlineStr">
        <is>
          <t>UA</t>
        </is>
      </c>
      <c r="B215" s="9" t="inlineStr">
        <is>
          <t>IBKR+Saxo</t>
        </is>
      </c>
      <c r="C215" s="15" t="inlineStr">
        <is>
          <t>IBKR</t>
        </is>
      </c>
      <c r="D215" s="15" t="inlineStr">
        <is>
          <t>Saxo</t>
        </is>
      </c>
      <c r="E215" s="15" t="n"/>
      <c r="F215" s="9">
        <f>IF(OR(IF(C215="","", IFERROR(INDEX('Tax Residency Eligibility'!$B$4:$G$9,MATCH(C215,'Tax Residency Eligibility'!$A$4:$A$9,0),MATCH($A215,'Tax Residency Eligibility'!$B$3:$G$3,0)),"?"))="N",IF(D215="","", IFERROR(INDEX('Tax Residency Eligibility'!$B$4:$G$9,MATCH(D215,'Tax Residency Eligibility'!$A$4:$A$9,0),MATCH($A215,'Tax Residency Eligibility'!$B$3:$G$3,0)),"?"))="N",IF(E215="","", IFERROR(INDEX('Tax Residency Eligibility'!$B$4:$G$9,MATCH(E215,'Tax Residency Eligibility'!$A$4:$A$9,0),MATCH($A215,'Tax Residency Eligibility'!$B$3:$G$3,0)),"?"))="N"),"No",IF(OR(IF(C215="","", IFERROR(INDEX('Tax Residency Eligibility'!$B$4:$G$9,MATCH(C215,'Tax Residency Eligibility'!$A$4:$A$9,0),MATCH($A215,'Tax Residency Eligibility'!$B$3:$G$3,0)),"?"))="Check",IF(D215="","", IFERROR(INDEX('Tax Residency Eligibility'!$B$4:$G$9,MATCH(D215,'Tax Residency Eligibility'!$A$4:$A$9,0),MATCH($A215,'Tax Residency Eligibility'!$B$3:$G$3,0)),"?"))="Check",IF(E215="","", IFERROR(INDEX('Tax Residency Eligibility'!$B$4:$G$9,MATCH(E215,'Tax Residency Eligibility'!$A$4:$A$9,0),MATCH($A215,'Tax Residency Eligibility'!$B$3:$G$3,0)),"?"))="Check"),"Check directly","Yes"))</f>
        <v/>
      </c>
      <c r="G215" s="16">
        <f>IFERROR(VLOOKUP(C215,'Broker Fees'!$A$4:$G$9,7,0),0)+IF(D215="",0,IFERROR(VLOOKUP(D215,'Broker Fees'!$A$4:$G$9,7,0),0))+IF(E215="",0,IFERROR(VLOOKUP(E215,'Broker Fees'!$A$4:$G$9,7,0),0))</f>
        <v/>
      </c>
      <c r="H21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5" s="18">
        <f>VLOOKUP($A215,'Capital Gains Tax'!$A$4:$D$9,2,0)</f>
        <v/>
      </c>
      <c r="J215" s="18">
        <f>VLOOKUP($A215,'Capital Gains Tax'!$A$4:$D$9,3,0)</f>
        <v/>
      </c>
    </row>
    <row r="216" ht="15" customHeight="1">
      <c r="A216" s="9" t="inlineStr">
        <is>
          <t>UA</t>
        </is>
      </c>
      <c r="B216" s="9" t="inlineStr">
        <is>
          <t>IBKR+Wio</t>
        </is>
      </c>
      <c r="C216" s="15" t="inlineStr">
        <is>
          <t>IBKR</t>
        </is>
      </c>
      <c r="D216" s="15" t="inlineStr">
        <is>
          <t>Wio</t>
        </is>
      </c>
      <c r="E216" s="15" t="n"/>
      <c r="F216" s="9">
        <f>IF(OR(IF(C216="","", IFERROR(INDEX('Tax Residency Eligibility'!$B$4:$G$9,MATCH(C216,'Tax Residency Eligibility'!$A$4:$A$9,0),MATCH($A216,'Tax Residency Eligibility'!$B$3:$G$3,0)),"?"))="N",IF(D216="","", IFERROR(INDEX('Tax Residency Eligibility'!$B$4:$G$9,MATCH(D216,'Tax Residency Eligibility'!$A$4:$A$9,0),MATCH($A216,'Tax Residency Eligibility'!$B$3:$G$3,0)),"?"))="N",IF(E216="","", IFERROR(INDEX('Tax Residency Eligibility'!$B$4:$G$9,MATCH(E216,'Tax Residency Eligibility'!$A$4:$A$9,0),MATCH($A216,'Tax Residency Eligibility'!$B$3:$G$3,0)),"?"))="N"),"No",IF(OR(IF(C216="","", IFERROR(INDEX('Tax Residency Eligibility'!$B$4:$G$9,MATCH(C216,'Tax Residency Eligibility'!$A$4:$A$9,0),MATCH($A216,'Tax Residency Eligibility'!$B$3:$G$3,0)),"?"))="Check",IF(D216="","", IFERROR(INDEX('Tax Residency Eligibility'!$B$4:$G$9,MATCH(D216,'Tax Residency Eligibility'!$A$4:$A$9,0),MATCH($A216,'Tax Residency Eligibility'!$B$3:$G$3,0)),"?"))="Check",IF(E216="","", IFERROR(INDEX('Tax Residency Eligibility'!$B$4:$G$9,MATCH(E216,'Tax Residency Eligibility'!$A$4:$A$9,0),MATCH($A216,'Tax Residency Eligibility'!$B$3:$G$3,0)),"?"))="Check"),"Check directly","Yes"))</f>
        <v/>
      </c>
      <c r="G216" s="16">
        <f>IFERROR(VLOOKUP(C216,'Broker Fees'!$A$4:$G$9,7,0),0)+IF(D216="",0,IFERROR(VLOOKUP(D216,'Broker Fees'!$A$4:$G$9,7,0),0))+IF(E216="",0,IFERROR(VLOOKUP(E216,'Broker Fees'!$A$4:$G$9,7,0),0))</f>
        <v/>
      </c>
      <c r="H21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6" s="18">
        <f>VLOOKUP($A216,'Capital Gains Tax'!$A$4:$D$9,2,0)</f>
        <v/>
      </c>
      <c r="J216" s="18">
        <f>VLOOKUP($A216,'Capital Gains Tax'!$A$4:$D$9,3,0)</f>
        <v/>
      </c>
    </row>
    <row r="217" ht="15" customHeight="1">
      <c r="A217" s="9" t="inlineStr">
        <is>
          <t>UA</t>
        </is>
      </c>
      <c r="B217" s="9" t="inlineStr">
        <is>
          <t>IBKR+Exante</t>
        </is>
      </c>
      <c r="C217" s="15" t="inlineStr">
        <is>
          <t>IBKR</t>
        </is>
      </c>
      <c r="D217" s="15" t="inlineStr">
        <is>
          <t>Exante</t>
        </is>
      </c>
      <c r="E217" s="15" t="n"/>
      <c r="F217" s="9">
        <f>IF(OR(IF(C217="","", IFERROR(INDEX('Tax Residency Eligibility'!$B$4:$G$9,MATCH(C217,'Tax Residency Eligibility'!$A$4:$A$9,0),MATCH($A217,'Tax Residency Eligibility'!$B$3:$G$3,0)),"?"))="N",IF(D217="","", IFERROR(INDEX('Tax Residency Eligibility'!$B$4:$G$9,MATCH(D217,'Tax Residency Eligibility'!$A$4:$A$9,0),MATCH($A217,'Tax Residency Eligibility'!$B$3:$G$3,0)),"?"))="N",IF(E217="","", IFERROR(INDEX('Tax Residency Eligibility'!$B$4:$G$9,MATCH(E217,'Tax Residency Eligibility'!$A$4:$A$9,0),MATCH($A217,'Tax Residency Eligibility'!$B$3:$G$3,0)),"?"))="N"),"No",IF(OR(IF(C217="","", IFERROR(INDEX('Tax Residency Eligibility'!$B$4:$G$9,MATCH(C217,'Tax Residency Eligibility'!$A$4:$A$9,0),MATCH($A217,'Tax Residency Eligibility'!$B$3:$G$3,0)),"?"))="Check",IF(D217="","", IFERROR(INDEX('Tax Residency Eligibility'!$B$4:$G$9,MATCH(D217,'Tax Residency Eligibility'!$A$4:$A$9,0),MATCH($A217,'Tax Residency Eligibility'!$B$3:$G$3,0)),"?"))="Check",IF(E217="","", IFERROR(INDEX('Tax Residency Eligibility'!$B$4:$G$9,MATCH(E217,'Tax Residency Eligibility'!$A$4:$A$9,0),MATCH($A217,'Tax Residency Eligibility'!$B$3:$G$3,0)),"?"))="Check"),"Check directly","Yes"))</f>
        <v/>
      </c>
      <c r="G217" s="16">
        <f>IFERROR(VLOOKUP(C217,'Broker Fees'!$A$4:$G$9,7,0),0)+IF(D217="",0,IFERROR(VLOOKUP(D217,'Broker Fees'!$A$4:$G$9,7,0),0))+IF(E217="",0,IFERROR(VLOOKUP(E217,'Broker Fees'!$A$4:$G$9,7,0),0))</f>
        <v/>
      </c>
      <c r="H21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7" s="18">
        <f>VLOOKUP($A217,'Capital Gains Tax'!$A$4:$D$9,2,0)</f>
        <v/>
      </c>
      <c r="J217" s="18">
        <f>VLOOKUP($A217,'Capital Gains Tax'!$A$4:$D$9,3,0)</f>
        <v/>
      </c>
    </row>
    <row r="218" ht="15" customHeight="1">
      <c r="A218" s="9" t="inlineStr">
        <is>
          <t>UA</t>
        </is>
      </c>
      <c r="B218" s="9" t="inlineStr">
        <is>
          <t>IBKR+Swissquote</t>
        </is>
      </c>
      <c r="C218" s="15" t="inlineStr">
        <is>
          <t>IBKR</t>
        </is>
      </c>
      <c r="D218" s="15" t="inlineStr">
        <is>
          <t>Swissquote</t>
        </is>
      </c>
      <c r="E218" s="15" t="n"/>
      <c r="F218" s="9">
        <f>IF(OR(IF(C218="","", IFERROR(INDEX('Tax Residency Eligibility'!$B$4:$G$9,MATCH(C218,'Tax Residency Eligibility'!$A$4:$A$9,0),MATCH($A218,'Tax Residency Eligibility'!$B$3:$G$3,0)),"?"))="N",IF(D218="","", IFERROR(INDEX('Tax Residency Eligibility'!$B$4:$G$9,MATCH(D218,'Tax Residency Eligibility'!$A$4:$A$9,0),MATCH($A218,'Tax Residency Eligibility'!$B$3:$G$3,0)),"?"))="N",IF(E218="","", IFERROR(INDEX('Tax Residency Eligibility'!$B$4:$G$9,MATCH(E218,'Tax Residency Eligibility'!$A$4:$A$9,0),MATCH($A218,'Tax Residency Eligibility'!$B$3:$G$3,0)),"?"))="N"),"No",IF(OR(IF(C218="","", IFERROR(INDEX('Tax Residency Eligibility'!$B$4:$G$9,MATCH(C218,'Tax Residency Eligibility'!$A$4:$A$9,0),MATCH($A218,'Tax Residency Eligibility'!$B$3:$G$3,0)),"?"))="Check",IF(D218="","", IFERROR(INDEX('Tax Residency Eligibility'!$B$4:$G$9,MATCH(D218,'Tax Residency Eligibility'!$A$4:$A$9,0),MATCH($A218,'Tax Residency Eligibility'!$B$3:$G$3,0)),"?"))="Check",IF(E218="","", IFERROR(INDEX('Tax Residency Eligibility'!$B$4:$G$9,MATCH(E218,'Tax Residency Eligibility'!$A$4:$A$9,0),MATCH($A218,'Tax Residency Eligibility'!$B$3:$G$3,0)),"?"))="Check"),"Check directly","Yes"))</f>
        <v/>
      </c>
      <c r="G218" s="16">
        <f>IFERROR(VLOOKUP(C218,'Broker Fees'!$A$4:$G$9,7,0),0)+IF(D218="",0,IFERROR(VLOOKUP(D218,'Broker Fees'!$A$4:$G$9,7,0),0))+IF(E218="",0,IFERROR(VLOOKUP(E218,'Broker Fees'!$A$4:$G$9,7,0),0))</f>
        <v/>
      </c>
      <c r="H21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8" s="18">
        <f>VLOOKUP($A218,'Capital Gains Tax'!$A$4:$D$9,2,0)</f>
        <v/>
      </c>
      <c r="J218" s="18">
        <f>VLOOKUP($A218,'Capital Gains Tax'!$A$4:$D$9,3,0)</f>
        <v/>
      </c>
    </row>
    <row r="219" ht="15" customHeight="1">
      <c r="A219" s="9" t="inlineStr">
        <is>
          <t>UA</t>
        </is>
      </c>
      <c r="B219" s="9" t="inlineStr">
        <is>
          <t>IBKR+XTB</t>
        </is>
      </c>
      <c r="C219" s="15" t="inlineStr">
        <is>
          <t>IBKR</t>
        </is>
      </c>
      <c r="D219" s="15" t="inlineStr">
        <is>
          <t>XTB</t>
        </is>
      </c>
      <c r="E219" s="15" t="n"/>
      <c r="F219" s="9">
        <f>IF(OR(IF(C219="","", IFERROR(INDEX('Tax Residency Eligibility'!$B$4:$G$9,MATCH(C219,'Tax Residency Eligibility'!$A$4:$A$9,0),MATCH($A219,'Tax Residency Eligibility'!$B$3:$G$3,0)),"?"))="N",IF(D219="","", IFERROR(INDEX('Tax Residency Eligibility'!$B$4:$G$9,MATCH(D219,'Tax Residency Eligibility'!$A$4:$A$9,0),MATCH($A219,'Tax Residency Eligibility'!$B$3:$G$3,0)),"?"))="N",IF(E219="","", IFERROR(INDEX('Tax Residency Eligibility'!$B$4:$G$9,MATCH(E219,'Tax Residency Eligibility'!$A$4:$A$9,0),MATCH($A219,'Tax Residency Eligibility'!$B$3:$G$3,0)),"?"))="N"),"No",IF(OR(IF(C219="","", IFERROR(INDEX('Tax Residency Eligibility'!$B$4:$G$9,MATCH(C219,'Tax Residency Eligibility'!$A$4:$A$9,0),MATCH($A219,'Tax Residency Eligibility'!$B$3:$G$3,0)),"?"))="Check",IF(D219="","", IFERROR(INDEX('Tax Residency Eligibility'!$B$4:$G$9,MATCH(D219,'Tax Residency Eligibility'!$A$4:$A$9,0),MATCH($A219,'Tax Residency Eligibility'!$B$3:$G$3,0)),"?"))="Check",IF(E219="","", IFERROR(INDEX('Tax Residency Eligibility'!$B$4:$G$9,MATCH(E219,'Tax Residency Eligibility'!$A$4:$A$9,0),MATCH($A219,'Tax Residency Eligibility'!$B$3:$G$3,0)),"?"))="Check"),"Check directly","Yes"))</f>
        <v/>
      </c>
      <c r="G219" s="16">
        <f>IFERROR(VLOOKUP(C219,'Broker Fees'!$A$4:$G$9,7,0),0)+IF(D219="",0,IFERROR(VLOOKUP(D219,'Broker Fees'!$A$4:$G$9,7,0),0))+IF(E219="",0,IFERROR(VLOOKUP(E219,'Broker Fees'!$A$4:$G$9,7,0),0))</f>
        <v/>
      </c>
      <c r="H21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19" s="18">
        <f>VLOOKUP($A219,'Capital Gains Tax'!$A$4:$D$9,2,0)</f>
        <v/>
      </c>
      <c r="J219" s="18">
        <f>VLOOKUP($A219,'Capital Gains Tax'!$A$4:$D$9,3,0)</f>
        <v/>
      </c>
    </row>
    <row r="220" ht="15" customHeight="1">
      <c r="A220" s="9" t="inlineStr">
        <is>
          <t>UA</t>
        </is>
      </c>
      <c r="B220" s="9" t="inlineStr">
        <is>
          <t>Saxo+Wio</t>
        </is>
      </c>
      <c r="C220" s="15" t="inlineStr">
        <is>
          <t>Saxo</t>
        </is>
      </c>
      <c r="D220" s="15" t="inlineStr">
        <is>
          <t>Wio</t>
        </is>
      </c>
      <c r="E220" s="15" t="n"/>
      <c r="F220" s="9">
        <f>IF(OR(IF(C220="","", IFERROR(INDEX('Tax Residency Eligibility'!$B$4:$G$9,MATCH(C220,'Tax Residency Eligibility'!$A$4:$A$9,0),MATCH($A220,'Tax Residency Eligibility'!$B$3:$G$3,0)),"?"))="N",IF(D220="","", IFERROR(INDEX('Tax Residency Eligibility'!$B$4:$G$9,MATCH(D220,'Tax Residency Eligibility'!$A$4:$A$9,0),MATCH($A220,'Tax Residency Eligibility'!$B$3:$G$3,0)),"?"))="N",IF(E220="","", IFERROR(INDEX('Tax Residency Eligibility'!$B$4:$G$9,MATCH(E220,'Tax Residency Eligibility'!$A$4:$A$9,0),MATCH($A220,'Tax Residency Eligibility'!$B$3:$G$3,0)),"?"))="N"),"No",IF(OR(IF(C220="","", IFERROR(INDEX('Tax Residency Eligibility'!$B$4:$G$9,MATCH(C220,'Tax Residency Eligibility'!$A$4:$A$9,0),MATCH($A220,'Tax Residency Eligibility'!$B$3:$G$3,0)),"?"))="Check",IF(D220="","", IFERROR(INDEX('Tax Residency Eligibility'!$B$4:$G$9,MATCH(D220,'Tax Residency Eligibility'!$A$4:$A$9,0),MATCH($A220,'Tax Residency Eligibility'!$B$3:$G$3,0)),"?"))="Check",IF(E220="","", IFERROR(INDEX('Tax Residency Eligibility'!$B$4:$G$9,MATCH(E220,'Tax Residency Eligibility'!$A$4:$A$9,0),MATCH($A220,'Tax Residency Eligibility'!$B$3:$G$3,0)),"?"))="Check"),"Check directly","Yes"))</f>
        <v/>
      </c>
      <c r="G220" s="16">
        <f>IFERROR(VLOOKUP(C220,'Broker Fees'!$A$4:$G$9,7,0),0)+IF(D220="",0,IFERROR(VLOOKUP(D220,'Broker Fees'!$A$4:$G$9,7,0),0))+IF(E220="",0,IFERROR(VLOOKUP(E220,'Broker Fees'!$A$4:$G$9,7,0),0))</f>
        <v/>
      </c>
      <c r="H22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0" s="18">
        <f>VLOOKUP($A220,'Capital Gains Tax'!$A$4:$D$9,2,0)</f>
        <v/>
      </c>
      <c r="J220" s="18">
        <f>VLOOKUP($A220,'Capital Gains Tax'!$A$4:$D$9,3,0)</f>
        <v/>
      </c>
    </row>
    <row r="221" ht="15" customHeight="1">
      <c r="A221" s="9" t="inlineStr">
        <is>
          <t>UA</t>
        </is>
      </c>
      <c r="B221" s="9" t="inlineStr">
        <is>
          <t>Saxo+Exante</t>
        </is>
      </c>
      <c r="C221" s="15" t="inlineStr">
        <is>
          <t>Saxo</t>
        </is>
      </c>
      <c r="D221" s="15" t="inlineStr">
        <is>
          <t>Exante</t>
        </is>
      </c>
      <c r="E221" s="15" t="n"/>
      <c r="F221" s="9">
        <f>IF(OR(IF(C221="","", IFERROR(INDEX('Tax Residency Eligibility'!$B$4:$G$9,MATCH(C221,'Tax Residency Eligibility'!$A$4:$A$9,0),MATCH($A221,'Tax Residency Eligibility'!$B$3:$G$3,0)),"?"))="N",IF(D221="","", IFERROR(INDEX('Tax Residency Eligibility'!$B$4:$G$9,MATCH(D221,'Tax Residency Eligibility'!$A$4:$A$9,0),MATCH($A221,'Tax Residency Eligibility'!$B$3:$G$3,0)),"?"))="N",IF(E221="","", IFERROR(INDEX('Tax Residency Eligibility'!$B$4:$G$9,MATCH(E221,'Tax Residency Eligibility'!$A$4:$A$9,0),MATCH($A221,'Tax Residency Eligibility'!$B$3:$G$3,0)),"?"))="N"),"No",IF(OR(IF(C221="","", IFERROR(INDEX('Tax Residency Eligibility'!$B$4:$G$9,MATCH(C221,'Tax Residency Eligibility'!$A$4:$A$9,0),MATCH($A221,'Tax Residency Eligibility'!$B$3:$G$3,0)),"?"))="Check",IF(D221="","", IFERROR(INDEX('Tax Residency Eligibility'!$B$4:$G$9,MATCH(D221,'Tax Residency Eligibility'!$A$4:$A$9,0),MATCH($A221,'Tax Residency Eligibility'!$B$3:$G$3,0)),"?"))="Check",IF(E221="","", IFERROR(INDEX('Tax Residency Eligibility'!$B$4:$G$9,MATCH(E221,'Tax Residency Eligibility'!$A$4:$A$9,0),MATCH($A221,'Tax Residency Eligibility'!$B$3:$G$3,0)),"?"))="Check"),"Check directly","Yes"))</f>
        <v/>
      </c>
      <c r="G221" s="16">
        <f>IFERROR(VLOOKUP(C221,'Broker Fees'!$A$4:$G$9,7,0),0)+IF(D221="",0,IFERROR(VLOOKUP(D221,'Broker Fees'!$A$4:$G$9,7,0),0))+IF(E221="",0,IFERROR(VLOOKUP(E221,'Broker Fees'!$A$4:$G$9,7,0),0))</f>
        <v/>
      </c>
      <c r="H22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1" s="18">
        <f>VLOOKUP($A221,'Capital Gains Tax'!$A$4:$D$9,2,0)</f>
        <v/>
      </c>
      <c r="J221" s="18">
        <f>VLOOKUP($A221,'Capital Gains Tax'!$A$4:$D$9,3,0)</f>
        <v/>
      </c>
    </row>
    <row r="222" ht="15" customHeight="1">
      <c r="A222" s="9" t="inlineStr">
        <is>
          <t>UA</t>
        </is>
      </c>
      <c r="B222" s="9" t="inlineStr">
        <is>
          <t>Saxo+Swissquote</t>
        </is>
      </c>
      <c r="C222" s="15" t="inlineStr">
        <is>
          <t>Saxo</t>
        </is>
      </c>
      <c r="D222" s="15" t="inlineStr">
        <is>
          <t>Swissquote</t>
        </is>
      </c>
      <c r="E222" s="15" t="n"/>
      <c r="F222" s="9">
        <f>IF(OR(IF(C222="","", IFERROR(INDEX('Tax Residency Eligibility'!$B$4:$G$9,MATCH(C222,'Tax Residency Eligibility'!$A$4:$A$9,0),MATCH($A222,'Tax Residency Eligibility'!$B$3:$G$3,0)),"?"))="N",IF(D222="","", IFERROR(INDEX('Tax Residency Eligibility'!$B$4:$G$9,MATCH(D222,'Tax Residency Eligibility'!$A$4:$A$9,0),MATCH($A222,'Tax Residency Eligibility'!$B$3:$G$3,0)),"?"))="N",IF(E222="","", IFERROR(INDEX('Tax Residency Eligibility'!$B$4:$G$9,MATCH(E222,'Tax Residency Eligibility'!$A$4:$A$9,0),MATCH($A222,'Tax Residency Eligibility'!$B$3:$G$3,0)),"?"))="N"),"No",IF(OR(IF(C222="","", IFERROR(INDEX('Tax Residency Eligibility'!$B$4:$G$9,MATCH(C222,'Tax Residency Eligibility'!$A$4:$A$9,0),MATCH($A222,'Tax Residency Eligibility'!$B$3:$G$3,0)),"?"))="Check",IF(D222="","", IFERROR(INDEX('Tax Residency Eligibility'!$B$4:$G$9,MATCH(D222,'Tax Residency Eligibility'!$A$4:$A$9,0),MATCH($A222,'Tax Residency Eligibility'!$B$3:$G$3,0)),"?"))="Check",IF(E222="","", IFERROR(INDEX('Tax Residency Eligibility'!$B$4:$G$9,MATCH(E222,'Tax Residency Eligibility'!$A$4:$A$9,0),MATCH($A222,'Tax Residency Eligibility'!$B$3:$G$3,0)),"?"))="Check"),"Check directly","Yes"))</f>
        <v/>
      </c>
      <c r="G222" s="16">
        <f>IFERROR(VLOOKUP(C222,'Broker Fees'!$A$4:$G$9,7,0),0)+IF(D222="",0,IFERROR(VLOOKUP(D222,'Broker Fees'!$A$4:$G$9,7,0),0))+IF(E222="",0,IFERROR(VLOOKUP(E222,'Broker Fees'!$A$4:$G$9,7,0),0))</f>
        <v/>
      </c>
      <c r="H22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2" s="18">
        <f>VLOOKUP($A222,'Capital Gains Tax'!$A$4:$D$9,2,0)</f>
        <v/>
      </c>
      <c r="J222" s="18">
        <f>VLOOKUP($A222,'Capital Gains Tax'!$A$4:$D$9,3,0)</f>
        <v/>
      </c>
    </row>
    <row r="223" ht="15" customHeight="1">
      <c r="A223" s="9" t="inlineStr">
        <is>
          <t>UA</t>
        </is>
      </c>
      <c r="B223" s="9" t="inlineStr">
        <is>
          <t>Saxo+XTB</t>
        </is>
      </c>
      <c r="C223" s="15" t="inlineStr">
        <is>
          <t>Saxo</t>
        </is>
      </c>
      <c r="D223" s="15" t="inlineStr">
        <is>
          <t>XTB</t>
        </is>
      </c>
      <c r="E223" s="15" t="n"/>
      <c r="F223" s="9">
        <f>IF(OR(IF(C223="","", IFERROR(INDEX('Tax Residency Eligibility'!$B$4:$G$9,MATCH(C223,'Tax Residency Eligibility'!$A$4:$A$9,0),MATCH($A223,'Tax Residency Eligibility'!$B$3:$G$3,0)),"?"))="N",IF(D223="","", IFERROR(INDEX('Tax Residency Eligibility'!$B$4:$G$9,MATCH(D223,'Tax Residency Eligibility'!$A$4:$A$9,0),MATCH($A223,'Tax Residency Eligibility'!$B$3:$G$3,0)),"?"))="N",IF(E223="","", IFERROR(INDEX('Tax Residency Eligibility'!$B$4:$G$9,MATCH(E223,'Tax Residency Eligibility'!$A$4:$A$9,0),MATCH($A223,'Tax Residency Eligibility'!$B$3:$G$3,0)),"?"))="N"),"No",IF(OR(IF(C223="","", IFERROR(INDEX('Tax Residency Eligibility'!$B$4:$G$9,MATCH(C223,'Tax Residency Eligibility'!$A$4:$A$9,0),MATCH($A223,'Tax Residency Eligibility'!$B$3:$G$3,0)),"?"))="Check",IF(D223="","", IFERROR(INDEX('Tax Residency Eligibility'!$B$4:$G$9,MATCH(D223,'Tax Residency Eligibility'!$A$4:$A$9,0),MATCH($A223,'Tax Residency Eligibility'!$B$3:$G$3,0)),"?"))="Check",IF(E223="","", IFERROR(INDEX('Tax Residency Eligibility'!$B$4:$G$9,MATCH(E223,'Tax Residency Eligibility'!$A$4:$A$9,0),MATCH($A223,'Tax Residency Eligibility'!$B$3:$G$3,0)),"?"))="Check"),"Check directly","Yes"))</f>
        <v/>
      </c>
      <c r="G223" s="16">
        <f>IFERROR(VLOOKUP(C223,'Broker Fees'!$A$4:$G$9,7,0),0)+IF(D223="",0,IFERROR(VLOOKUP(D223,'Broker Fees'!$A$4:$G$9,7,0),0))+IF(E223="",0,IFERROR(VLOOKUP(E223,'Broker Fees'!$A$4:$G$9,7,0),0))</f>
        <v/>
      </c>
      <c r="H22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3" s="18">
        <f>VLOOKUP($A223,'Capital Gains Tax'!$A$4:$D$9,2,0)</f>
        <v/>
      </c>
      <c r="J223" s="18">
        <f>VLOOKUP($A223,'Capital Gains Tax'!$A$4:$D$9,3,0)</f>
        <v/>
      </c>
    </row>
    <row r="224" ht="15" customHeight="1">
      <c r="A224" s="9" t="inlineStr">
        <is>
          <t>UA</t>
        </is>
      </c>
      <c r="B224" s="9" t="inlineStr">
        <is>
          <t>Wio+Exante</t>
        </is>
      </c>
      <c r="C224" s="15" t="inlineStr">
        <is>
          <t>Wio</t>
        </is>
      </c>
      <c r="D224" s="15" t="inlineStr">
        <is>
          <t>Exante</t>
        </is>
      </c>
      <c r="E224" s="15" t="n"/>
      <c r="F224" s="9">
        <f>IF(OR(IF(C224="","", IFERROR(INDEX('Tax Residency Eligibility'!$B$4:$G$9,MATCH(C224,'Tax Residency Eligibility'!$A$4:$A$9,0),MATCH($A224,'Tax Residency Eligibility'!$B$3:$G$3,0)),"?"))="N",IF(D224="","", IFERROR(INDEX('Tax Residency Eligibility'!$B$4:$G$9,MATCH(D224,'Tax Residency Eligibility'!$A$4:$A$9,0),MATCH($A224,'Tax Residency Eligibility'!$B$3:$G$3,0)),"?"))="N",IF(E224="","", IFERROR(INDEX('Tax Residency Eligibility'!$B$4:$G$9,MATCH(E224,'Tax Residency Eligibility'!$A$4:$A$9,0),MATCH($A224,'Tax Residency Eligibility'!$B$3:$G$3,0)),"?"))="N"),"No",IF(OR(IF(C224="","", IFERROR(INDEX('Tax Residency Eligibility'!$B$4:$G$9,MATCH(C224,'Tax Residency Eligibility'!$A$4:$A$9,0),MATCH($A224,'Tax Residency Eligibility'!$B$3:$G$3,0)),"?"))="Check",IF(D224="","", IFERROR(INDEX('Tax Residency Eligibility'!$B$4:$G$9,MATCH(D224,'Tax Residency Eligibility'!$A$4:$A$9,0),MATCH($A224,'Tax Residency Eligibility'!$B$3:$G$3,0)),"?"))="Check",IF(E224="","", IFERROR(INDEX('Tax Residency Eligibility'!$B$4:$G$9,MATCH(E224,'Tax Residency Eligibility'!$A$4:$A$9,0),MATCH($A224,'Tax Residency Eligibility'!$B$3:$G$3,0)),"?"))="Check"),"Check directly","Yes"))</f>
        <v/>
      </c>
      <c r="G224" s="16">
        <f>IFERROR(VLOOKUP(C224,'Broker Fees'!$A$4:$G$9,7,0),0)+IF(D224="",0,IFERROR(VLOOKUP(D224,'Broker Fees'!$A$4:$G$9,7,0),0))+IF(E224="",0,IFERROR(VLOOKUP(E224,'Broker Fees'!$A$4:$G$9,7,0),0))</f>
        <v/>
      </c>
      <c r="H22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4" s="18">
        <f>VLOOKUP($A224,'Capital Gains Tax'!$A$4:$D$9,2,0)</f>
        <v/>
      </c>
      <c r="J224" s="18">
        <f>VLOOKUP($A224,'Capital Gains Tax'!$A$4:$D$9,3,0)</f>
        <v/>
      </c>
    </row>
    <row r="225" ht="15" customHeight="1">
      <c r="A225" s="9" t="inlineStr">
        <is>
          <t>UA</t>
        </is>
      </c>
      <c r="B225" s="9" t="inlineStr">
        <is>
          <t>Wio+Swissquote</t>
        </is>
      </c>
      <c r="C225" s="15" t="inlineStr">
        <is>
          <t>Wio</t>
        </is>
      </c>
      <c r="D225" s="15" t="inlineStr">
        <is>
          <t>Swissquote</t>
        </is>
      </c>
      <c r="E225" s="15" t="n"/>
      <c r="F225" s="9">
        <f>IF(OR(IF(C225="","", IFERROR(INDEX('Tax Residency Eligibility'!$B$4:$G$9,MATCH(C225,'Tax Residency Eligibility'!$A$4:$A$9,0),MATCH($A225,'Tax Residency Eligibility'!$B$3:$G$3,0)),"?"))="N",IF(D225="","", IFERROR(INDEX('Tax Residency Eligibility'!$B$4:$G$9,MATCH(D225,'Tax Residency Eligibility'!$A$4:$A$9,0),MATCH($A225,'Tax Residency Eligibility'!$B$3:$G$3,0)),"?"))="N",IF(E225="","", IFERROR(INDEX('Tax Residency Eligibility'!$B$4:$G$9,MATCH(E225,'Tax Residency Eligibility'!$A$4:$A$9,0),MATCH($A225,'Tax Residency Eligibility'!$B$3:$G$3,0)),"?"))="N"),"No",IF(OR(IF(C225="","", IFERROR(INDEX('Tax Residency Eligibility'!$B$4:$G$9,MATCH(C225,'Tax Residency Eligibility'!$A$4:$A$9,0),MATCH($A225,'Tax Residency Eligibility'!$B$3:$G$3,0)),"?"))="Check",IF(D225="","", IFERROR(INDEX('Tax Residency Eligibility'!$B$4:$G$9,MATCH(D225,'Tax Residency Eligibility'!$A$4:$A$9,0),MATCH($A225,'Tax Residency Eligibility'!$B$3:$G$3,0)),"?"))="Check",IF(E225="","", IFERROR(INDEX('Tax Residency Eligibility'!$B$4:$G$9,MATCH(E225,'Tax Residency Eligibility'!$A$4:$A$9,0),MATCH($A225,'Tax Residency Eligibility'!$B$3:$G$3,0)),"?"))="Check"),"Check directly","Yes"))</f>
        <v/>
      </c>
      <c r="G225" s="16">
        <f>IFERROR(VLOOKUP(C225,'Broker Fees'!$A$4:$G$9,7,0),0)+IF(D225="",0,IFERROR(VLOOKUP(D225,'Broker Fees'!$A$4:$G$9,7,0),0))+IF(E225="",0,IFERROR(VLOOKUP(E225,'Broker Fees'!$A$4:$G$9,7,0),0))</f>
        <v/>
      </c>
      <c r="H22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5" s="18">
        <f>VLOOKUP($A225,'Capital Gains Tax'!$A$4:$D$9,2,0)</f>
        <v/>
      </c>
      <c r="J225" s="18">
        <f>VLOOKUP($A225,'Capital Gains Tax'!$A$4:$D$9,3,0)</f>
        <v/>
      </c>
    </row>
    <row r="226" ht="15" customHeight="1">
      <c r="A226" s="9" t="inlineStr">
        <is>
          <t>UA</t>
        </is>
      </c>
      <c r="B226" s="9" t="inlineStr">
        <is>
          <t>Wio+XTB</t>
        </is>
      </c>
      <c r="C226" s="15" t="inlineStr">
        <is>
          <t>Wio</t>
        </is>
      </c>
      <c r="D226" s="15" t="inlineStr">
        <is>
          <t>XTB</t>
        </is>
      </c>
      <c r="E226" s="15" t="n"/>
      <c r="F226" s="9">
        <f>IF(OR(IF(C226="","", IFERROR(INDEX('Tax Residency Eligibility'!$B$4:$G$9,MATCH(C226,'Tax Residency Eligibility'!$A$4:$A$9,0),MATCH($A226,'Tax Residency Eligibility'!$B$3:$G$3,0)),"?"))="N",IF(D226="","", IFERROR(INDEX('Tax Residency Eligibility'!$B$4:$G$9,MATCH(D226,'Tax Residency Eligibility'!$A$4:$A$9,0),MATCH($A226,'Tax Residency Eligibility'!$B$3:$G$3,0)),"?"))="N",IF(E226="","", IFERROR(INDEX('Tax Residency Eligibility'!$B$4:$G$9,MATCH(E226,'Tax Residency Eligibility'!$A$4:$A$9,0),MATCH($A226,'Tax Residency Eligibility'!$B$3:$G$3,0)),"?"))="N"),"No",IF(OR(IF(C226="","", IFERROR(INDEX('Tax Residency Eligibility'!$B$4:$G$9,MATCH(C226,'Tax Residency Eligibility'!$A$4:$A$9,0),MATCH($A226,'Tax Residency Eligibility'!$B$3:$G$3,0)),"?"))="Check",IF(D226="","", IFERROR(INDEX('Tax Residency Eligibility'!$B$4:$G$9,MATCH(D226,'Tax Residency Eligibility'!$A$4:$A$9,0),MATCH($A226,'Tax Residency Eligibility'!$B$3:$G$3,0)),"?"))="Check",IF(E226="","", IFERROR(INDEX('Tax Residency Eligibility'!$B$4:$G$9,MATCH(E226,'Tax Residency Eligibility'!$A$4:$A$9,0),MATCH($A226,'Tax Residency Eligibility'!$B$3:$G$3,0)),"?"))="Check"),"Check directly","Yes"))</f>
        <v/>
      </c>
      <c r="G226" s="16">
        <f>IFERROR(VLOOKUP(C226,'Broker Fees'!$A$4:$G$9,7,0),0)+IF(D226="",0,IFERROR(VLOOKUP(D226,'Broker Fees'!$A$4:$G$9,7,0),0))+IF(E226="",0,IFERROR(VLOOKUP(E226,'Broker Fees'!$A$4:$G$9,7,0),0))</f>
        <v/>
      </c>
      <c r="H22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6" s="18">
        <f>VLOOKUP($A226,'Capital Gains Tax'!$A$4:$D$9,2,0)</f>
        <v/>
      </c>
      <c r="J226" s="18">
        <f>VLOOKUP($A226,'Capital Gains Tax'!$A$4:$D$9,3,0)</f>
        <v/>
      </c>
    </row>
    <row r="227" ht="15" customHeight="1">
      <c r="A227" s="9" t="inlineStr">
        <is>
          <t>UA</t>
        </is>
      </c>
      <c r="B227" s="9" t="inlineStr">
        <is>
          <t>Exante+Swissquote</t>
        </is>
      </c>
      <c r="C227" s="15" t="inlineStr">
        <is>
          <t>Exante</t>
        </is>
      </c>
      <c r="D227" s="15" t="inlineStr">
        <is>
          <t>Swissquote</t>
        </is>
      </c>
      <c r="E227" s="15" t="n"/>
      <c r="F227" s="9">
        <f>IF(OR(IF(C227="","", IFERROR(INDEX('Tax Residency Eligibility'!$B$4:$G$9,MATCH(C227,'Tax Residency Eligibility'!$A$4:$A$9,0),MATCH($A227,'Tax Residency Eligibility'!$B$3:$G$3,0)),"?"))="N",IF(D227="","", IFERROR(INDEX('Tax Residency Eligibility'!$B$4:$G$9,MATCH(D227,'Tax Residency Eligibility'!$A$4:$A$9,0),MATCH($A227,'Tax Residency Eligibility'!$B$3:$G$3,0)),"?"))="N",IF(E227="","", IFERROR(INDEX('Tax Residency Eligibility'!$B$4:$G$9,MATCH(E227,'Tax Residency Eligibility'!$A$4:$A$9,0),MATCH($A227,'Tax Residency Eligibility'!$B$3:$G$3,0)),"?"))="N"),"No",IF(OR(IF(C227="","", IFERROR(INDEX('Tax Residency Eligibility'!$B$4:$G$9,MATCH(C227,'Tax Residency Eligibility'!$A$4:$A$9,0),MATCH($A227,'Tax Residency Eligibility'!$B$3:$G$3,0)),"?"))="Check",IF(D227="","", IFERROR(INDEX('Tax Residency Eligibility'!$B$4:$G$9,MATCH(D227,'Tax Residency Eligibility'!$A$4:$A$9,0),MATCH($A227,'Tax Residency Eligibility'!$B$3:$G$3,0)),"?"))="Check",IF(E227="","", IFERROR(INDEX('Tax Residency Eligibility'!$B$4:$G$9,MATCH(E227,'Tax Residency Eligibility'!$A$4:$A$9,0),MATCH($A227,'Tax Residency Eligibility'!$B$3:$G$3,0)),"?"))="Check"),"Check directly","Yes"))</f>
        <v/>
      </c>
      <c r="G227" s="16">
        <f>IFERROR(VLOOKUP(C227,'Broker Fees'!$A$4:$G$9,7,0),0)+IF(D227="",0,IFERROR(VLOOKUP(D227,'Broker Fees'!$A$4:$G$9,7,0),0))+IF(E227="",0,IFERROR(VLOOKUP(E227,'Broker Fees'!$A$4:$G$9,7,0),0))</f>
        <v/>
      </c>
      <c r="H22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7" s="18">
        <f>VLOOKUP($A227,'Capital Gains Tax'!$A$4:$D$9,2,0)</f>
        <v/>
      </c>
      <c r="J227" s="18">
        <f>VLOOKUP($A227,'Capital Gains Tax'!$A$4:$D$9,3,0)</f>
        <v/>
      </c>
    </row>
    <row r="228" ht="15" customHeight="1">
      <c r="A228" s="9" t="inlineStr">
        <is>
          <t>UA</t>
        </is>
      </c>
      <c r="B228" s="9" t="inlineStr">
        <is>
          <t>Exante+XTB</t>
        </is>
      </c>
      <c r="C228" s="15" t="inlineStr">
        <is>
          <t>Exante</t>
        </is>
      </c>
      <c r="D228" s="15" t="inlineStr">
        <is>
          <t>XTB</t>
        </is>
      </c>
      <c r="E228" s="15" t="n"/>
      <c r="F228" s="9">
        <f>IF(OR(IF(C228="","", IFERROR(INDEX('Tax Residency Eligibility'!$B$4:$G$9,MATCH(C228,'Tax Residency Eligibility'!$A$4:$A$9,0),MATCH($A228,'Tax Residency Eligibility'!$B$3:$G$3,0)),"?"))="N",IF(D228="","", IFERROR(INDEX('Tax Residency Eligibility'!$B$4:$G$9,MATCH(D228,'Tax Residency Eligibility'!$A$4:$A$9,0),MATCH($A228,'Tax Residency Eligibility'!$B$3:$G$3,0)),"?"))="N",IF(E228="","", IFERROR(INDEX('Tax Residency Eligibility'!$B$4:$G$9,MATCH(E228,'Tax Residency Eligibility'!$A$4:$A$9,0),MATCH($A228,'Tax Residency Eligibility'!$B$3:$G$3,0)),"?"))="N"),"No",IF(OR(IF(C228="","", IFERROR(INDEX('Tax Residency Eligibility'!$B$4:$G$9,MATCH(C228,'Tax Residency Eligibility'!$A$4:$A$9,0),MATCH($A228,'Tax Residency Eligibility'!$B$3:$G$3,0)),"?"))="Check",IF(D228="","", IFERROR(INDEX('Tax Residency Eligibility'!$B$4:$G$9,MATCH(D228,'Tax Residency Eligibility'!$A$4:$A$9,0),MATCH($A228,'Tax Residency Eligibility'!$B$3:$G$3,0)),"?"))="Check",IF(E228="","", IFERROR(INDEX('Tax Residency Eligibility'!$B$4:$G$9,MATCH(E228,'Tax Residency Eligibility'!$A$4:$A$9,0),MATCH($A228,'Tax Residency Eligibility'!$B$3:$G$3,0)),"?"))="Check"),"Check directly","Yes"))</f>
        <v/>
      </c>
      <c r="G228" s="16">
        <f>IFERROR(VLOOKUP(C228,'Broker Fees'!$A$4:$G$9,7,0),0)+IF(D228="",0,IFERROR(VLOOKUP(D228,'Broker Fees'!$A$4:$G$9,7,0),0))+IF(E228="",0,IFERROR(VLOOKUP(E228,'Broker Fees'!$A$4:$G$9,7,0),0))</f>
        <v/>
      </c>
      <c r="H22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8" s="18">
        <f>VLOOKUP($A228,'Capital Gains Tax'!$A$4:$D$9,2,0)</f>
        <v/>
      </c>
      <c r="J228" s="18">
        <f>VLOOKUP($A228,'Capital Gains Tax'!$A$4:$D$9,3,0)</f>
        <v/>
      </c>
    </row>
    <row r="229" ht="15" customHeight="1">
      <c r="A229" s="9" t="inlineStr">
        <is>
          <t>UA</t>
        </is>
      </c>
      <c r="B229" s="9" t="inlineStr">
        <is>
          <t>Swissquote+XTB</t>
        </is>
      </c>
      <c r="C229" s="15" t="inlineStr">
        <is>
          <t>Swissquote</t>
        </is>
      </c>
      <c r="D229" s="15" t="inlineStr">
        <is>
          <t>XTB</t>
        </is>
      </c>
      <c r="E229" s="15" t="n"/>
      <c r="F229" s="9">
        <f>IF(OR(IF(C229="","", IFERROR(INDEX('Tax Residency Eligibility'!$B$4:$G$9,MATCH(C229,'Tax Residency Eligibility'!$A$4:$A$9,0),MATCH($A229,'Tax Residency Eligibility'!$B$3:$G$3,0)),"?"))="N",IF(D229="","", IFERROR(INDEX('Tax Residency Eligibility'!$B$4:$G$9,MATCH(D229,'Tax Residency Eligibility'!$A$4:$A$9,0),MATCH($A229,'Tax Residency Eligibility'!$B$3:$G$3,0)),"?"))="N",IF(E229="","", IFERROR(INDEX('Tax Residency Eligibility'!$B$4:$G$9,MATCH(E229,'Tax Residency Eligibility'!$A$4:$A$9,0),MATCH($A229,'Tax Residency Eligibility'!$B$3:$G$3,0)),"?"))="N"),"No",IF(OR(IF(C229="","", IFERROR(INDEX('Tax Residency Eligibility'!$B$4:$G$9,MATCH(C229,'Tax Residency Eligibility'!$A$4:$A$9,0),MATCH($A229,'Tax Residency Eligibility'!$B$3:$G$3,0)),"?"))="Check",IF(D229="","", IFERROR(INDEX('Tax Residency Eligibility'!$B$4:$G$9,MATCH(D229,'Tax Residency Eligibility'!$A$4:$A$9,0),MATCH($A229,'Tax Residency Eligibility'!$B$3:$G$3,0)),"?"))="Check",IF(E229="","", IFERROR(INDEX('Tax Residency Eligibility'!$B$4:$G$9,MATCH(E229,'Tax Residency Eligibility'!$A$4:$A$9,0),MATCH($A229,'Tax Residency Eligibility'!$B$3:$G$3,0)),"?"))="Check"),"Check directly","Yes"))</f>
        <v/>
      </c>
      <c r="G229" s="16">
        <f>IFERROR(VLOOKUP(C229,'Broker Fees'!$A$4:$G$9,7,0),0)+IF(D229="",0,IFERROR(VLOOKUP(D229,'Broker Fees'!$A$4:$G$9,7,0),0))+IF(E229="",0,IFERROR(VLOOKUP(E229,'Broker Fees'!$A$4:$G$9,7,0),0))</f>
        <v/>
      </c>
      <c r="H22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29" s="18">
        <f>VLOOKUP($A229,'Capital Gains Tax'!$A$4:$D$9,2,0)</f>
        <v/>
      </c>
      <c r="J229" s="18">
        <f>VLOOKUP($A229,'Capital Gains Tax'!$A$4:$D$9,3,0)</f>
        <v/>
      </c>
    </row>
    <row r="230" ht="15" customHeight="1">
      <c r="A230" s="9" t="inlineStr">
        <is>
          <t>UA</t>
        </is>
      </c>
      <c r="B230" s="9" t="inlineStr">
        <is>
          <t>IBKR+Saxo+Wio</t>
        </is>
      </c>
      <c r="C230" s="15" t="inlineStr">
        <is>
          <t>IBKR</t>
        </is>
      </c>
      <c r="D230" s="15" t="inlineStr">
        <is>
          <t>Saxo</t>
        </is>
      </c>
      <c r="E230" s="15" t="inlineStr">
        <is>
          <t>Wio</t>
        </is>
      </c>
      <c r="F230" s="9">
        <f>IF(OR(IF(C230="","", IFERROR(INDEX('Tax Residency Eligibility'!$B$4:$G$9,MATCH(C230,'Tax Residency Eligibility'!$A$4:$A$9,0),MATCH($A230,'Tax Residency Eligibility'!$B$3:$G$3,0)),"?"))="N",IF(D230="","", IFERROR(INDEX('Tax Residency Eligibility'!$B$4:$G$9,MATCH(D230,'Tax Residency Eligibility'!$A$4:$A$9,0),MATCH($A230,'Tax Residency Eligibility'!$B$3:$G$3,0)),"?"))="N",IF(E230="","", IFERROR(INDEX('Tax Residency Eligibility'!$B$4:$G$9,MATCH(E230,'Tax Residency Eligibility'!$A$4:$A$9,0),MATCH($A230,'Tax Residency Eligibility'!$B$3:$G$3,0)),"?"))="N"),"No",IF(OR(IF(C230="","", IFERROR(INDEX('Tax Residency Eligibility'!$B$4:$G$9,MATCH(C230,'Tax Residency Eligibility'!$A$4:$A$9,0),MATCH($A230,'Tax Residency Eligibility'!$B$3:$G$3,0)),"?"))="Check",IF(D230="","", IFERROR(INDEX('Tax Residency Eligibility'!$B$4:$G$9,MATCH(D230,'Tax Residency Eligibility'!$A$4:$A$9,0),MATCH($A230,'Tax Residency Eligibility'!$B$3:$G$3,0)),"?"))="Check",IF(E230="","", IFERROR(INDEX('Tax Residency Eligibility'!$B$4:$G$9,MATCH(E230,'Tax Residency Eligibility'!$A$4:$A$9,0),MATCH($A230,'Tax Residency Eligibility'!$B$3:$G$3,0)),"?"))="Check"),"Check directly","Yes"))</f>
        <v/>
      </c>
      <c r="G230" s="16">
        <f>IFERROR(VLOOKUP(C230,'Broker Fees'!$A$4:$G$9,7,0),0)+IF(D230="",0,IFERROR(VLOOKUP(D230,'Broker Fees'!$A$4:$G$9,7,0),0))+IF(E230="",0,IFERROR(VLOOKUP(E230,'Broker Fees'!$A$4:$G$9,7,0),0))</f>
        <v/>
      </c>
      <c r="H23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0" s="18">
        <f>VLOOKUP($A230,'Capital Gains Tax'!$A$4:$D$9,2,0)</f>
        <v/>
      </c>
      <c r="J230" s="18">
        <f>VLOOKUP($A230,'Capital Gains Tax'!$A$4:$D$9,3,0)</f>
        <v/>
      </c>
    </row>
    <row r="231" ht="15" customHeight="1">
      <c r="A231" s="9" t="inlineStr">
        <is>
          <t>UA</t>
        </is>
      </c>
      <c r="B231" s="9" t="inlineStr">
        <is>
          <t>IBKR+Saxo+Exante</t>
        </is>
      </c>
      <c r="C231" s="15" t="inlineStr">
        <is>
          <t>IBKR</t>
        </is>
      </c>
      <c r="D231" s="15" t="inlineStr">
        <is>
          <t>Saxo</t>
        </is>
      </c>
      <c r="E231" s="15" t="inlineStr">
        <is>
          <t>Exante</t>
        </is>
      </c>
      <c r="F231" s="9">
        <f>IF(OR(IF(C231="","", IFERROR(INDEX('Tax Residency Eligibility'!$B$4:$G$9,MATCH(C231,'Tax Residency Eligibility'!$A$4:$A$9,0),MATCH($A231,'Tax Residency Eligibility'!$B$3:$G$3,0)),"?"))="N",IF(D231="","", IFERROR(INDEX('Tax Residency Eligibility'!$B$4:$G$9,MATCH(D231,'Tax Residency Eligibility'!$A$4:$A$9,0),MATCH($A231,'Tax Residency Eligibility'!$B$3:$G$3,0)),"?"))="N",IF(E231="","", IFERROR(INDEX('Tax Residency Eligibility'!$B$4:$G$9,MATCH(E231,'Tax Residency Eligibility'!$A$4:$A$9,0),MATCH($A231,'Tax Residency Eligibility'!$B$3:$G$3,0)),"?"))="N"),"No",IF(OR(IF(C231="","", IFERROR(INDEX('Tax Residency Eligibility'!$B$4:$G$9,MATCH(C231,'Tax Residency Eligibility'!$A$4:$A$9,0),MATCH($A231,'Tax Residency Eligibility'!$B$3:$G$3,0)),"?"))="Check",IF(D231="","", IFERROR(INDEX('Tax Residency Eligibility'!$B$4:$G$9,MATCH(D231,'Tax Residency Eligibility'!$A$4:$A$9,0),MATCH($A231,'Tax Residency Eligibility'!$B$3:$G$3,0)),"?"))="Check",IF(E231="","", IFERROR(INDEX('Tax Residency Eligibility'!$B$4:$G$9,MATCH(E231,'Tax Residency Eligibility'!$A$4:$A$9,0),MATCH($A231,'Tax Residency Eligibility'!$B$3:$G$3,0)),"?"))="Check"),"Check directly","Yes"))</f>
        <v/>
      </c>
      <c r="G231" s="16">
        <f>IFERROR(VLOOKUP(C231,'Broker Fees'!$A$4:$G$9,7,0),0)+IF(D231="",0,IFERROR(VLOOKUP(D231,'Broker Fees'!$A$4:$G$9,7,0),0))+IF(E231="",0,IFERROR(VLOOKUP(E231,'Broker Fees'!$A$4:$G$9,7,0),0))</f>
        <v/>
      </c>
      <c r="H23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1" s="18">
        <f>VLOOKUP($A231,'Capital Gains Tax'!$A$4:$D$9,2,0)</f>
        <v/>
      </c>
      <c r="J231" s="18">
        <f>VLOOKUP($A231,'Capital Gains Tax'!$A$4:$D$9,3,0)</f>
        <v/>
      </c>
    </row>
    <row r="232" ht="15" customHeight="1">
      <c r="A232" s="9" t="inlineStr">
        <is>
          <t>UA</t>
        </is>
      </c>
      <c r="B232" s="9" t="inlineStr">
        <is>
          <t>IBKR+Saxo+Swissquote</t>
        </is>
      </c>
      <c r="C232" s="15" t="inlineStr">
        <is>
          <t>IBKR</t>
        </is>
      </c>
      <c r="D232" s="15" t="inlineStr">
        <is>
          <t>Saxo</t>
        </is>
      </c>
      <c r="E232" s="15" t="inlineStr">
        <is>
          <t>Swissquote</t>
        </is>
      </c>
      <c r="F232" s="9">
        <f>IF(OR(IF(C232="","", IFERROR(INDEX('Tax Residency Eligibility'!$B$4:$G$9,MATCH(C232,'Tax Residency Eligibility'!$A$4:$A$9,0),MATCH($A232,'Tax Residency Eligibility'!$B$3:$G$3,0)),"?"))="N",IF(D232="","", IFERROR(INDEX('Tax Residency Eligibility'!$B$4:$G$9,MATCH(D232,'Tax Residency Eligibility'!$A$4:$A$9,0),MATCH($A232,'Tax Residency Eligibility'!$B$3:$G$3,0)),"?"))="N",IF(E232="","", IFERROR(INDEX('Tax Residency Eligibility'!$B$4:$G$9,MATCH(E232,'Tax Residency Eligibility'!$A$4:$A$9,0),MATCH($A232,'Tax Residency Eligibility'!$B$3:$G$3,0)),"?"))="N"),"No",IF(OR(IF(C232="","", IFERROR(INDEX('Tax Residency Eligibility'!$B$4:$G$9,MATCH(C232,'Tax Residency Eligibility'!$A$4:$A$9,0),MATCH($A232,'Tax Residency Eligibility'!$B$3:$G$3,0)),"?"))="Check",IF(D232="","", IFERROR(INDEX('Tax Residency Eligibility'!$B$4:$G$9,MATCH(D232,'Tax Residency Eligibility'!$A$4:$A$9,0),MATCH($A232,'Tax Residency Eligibility'!$B$3:$G$3,0)),"?"))="Check",IF(E232="","", IFERROR(INDEX('Tax Residency Eligibility'!$B$4:$G$9,MATCH(E232,'Tax Residency Eligibility'!$A$4:$A$9,0),MATCH($A232,'Tax Residency Eligibility'!$B$3:$G$3,0)),"?"))="Check"),"Check directly","Yes"))</f>
        <v/>
      </c>
      <c r="G232" s="16">
        <f>IFERROR(VLOOKUP(C232,'Broker Fees'!$A$4:$G$9,7,0),0)+IF(D232="",0,IFERROR(VLOOKUP(D232,'Broker Fees'!$A$4:$G$9,7,0),0))+IF(E232="",0,IFERROR(VLOOKUP(E232,'Broker Fees'!$A$4:$G$9,7,0),0))</f>
        <v/>
      </c>
      <c r="H23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2" s="18">
        <f>VLOOKUP($A232,'Capital Gains Tax'!$A$4:$D$9,2,0)</f>
        <v/>
      </c>
      <c r="J232" s="18">
        <f>VLOOKUP($A232,'Capital Gains Tax'!$A$4:$D$9,3,0)</f>
        <v/>
      </c>
    </row>
    <row r="233" ht="15" customHeight="1">
      <c r="A233" s="9" t="inlineStr">
        <is>
          <t>UA</t>
        </is>
      </c>
      <c r="B233" s="9" t="inlineStr">
        <is>
          <t>IBKR+Saxo+XTB</t>
        </is>
      </c>
      <c r="C233" s="15" t="inlineStr">
        <is>
          <t>IBKR</t>
        </is>
      </c>
      <c r="D233" s="15" t="inlineStr">
        <is>
          <t>Saxo</t>
        </is>
      </c>
      <c r="E233" s="15" t="inlineStr">
        <is>
          <t>XTB</t>
        </is>
      </c>
      <c r="F233" s="9">
        <f>IF(OR(IF(C233="","", IFERROR(INDEX('Tax Residency Eligibility'!$B$4:$G$9,MATCH(C233,'Tax Residency Eligibility'!$A$4:$A$9,0),MATCH($A233,'Tax Residency Eligibility'!$B$3:$G$3,0)),"?"))="N",IF(D233="","", IFERROR(INDEX('Tax Residency Eligibility'!$B$4:$G$9,MATCH(D233,'Tax Residency Eligibility'!$A$4:$A$9,0),MATCH($A233,'Tax Residency Eligibility'!$B$3:$G$3,0)),"?"))="N",IF(E233="","", IFERROR(INDEX('Tax Residency Eligibility'!$B$4:$G$9,MATCH(E233,'Tax Residency Eligibility'!$A$4:$A$9,0),MATCH($A233,'Tax Residency Eligibility'!$B$3:$G$3,0)),"?"))="N"),"No",IF(OR(IF(C233="","", IFERROR(INDEX('Tax Residency Eligibility'!$B$4:$G$9,MATCH(C233,'Tax Residency Eligibility'!$A$4:$A$9,0),MATCH($A233,'Tax Residency Eligibility'!$B$3:$G$3,0)),"?"))="Check",IF(D233="","", IFERROR(INDEX('Tax Residency Eligibility'!$B$4:$G$9,MATCH(D233,'Tax Residency Eligibility'!$A$4:$A$9,0),MATCH($A233,'Tax Residency Eligibility'!$B$3:$G$3,0)),"?"))="Check",IF(E233="","", IFERROR(INDEX('Tax Residency Eligibility'!$B$4:$G$9,MATCH(E233,'Tax Residency Eligibility'!$A$4:$A$9,0),MATCH($A233,'Tax Residency Eligibility'!$B$3:$G$3,0)),"?"))="Check"),"Check directly","Yes"))</f>
        <v/>
      </c>
      <c r="G233" s="16">
        <f>IFERROR(VLOOKUP(C233,'Broker Fees'!$A$4:$G$9,7,0),0)+IF(D233="",0,IFERROR(VLOOKUP(D233,'Broker Fees'!$A$4:$G$9,7,0),0))+IF(E233="",0,IFERROR(VLOOKUP(E233,'Broker Fees'!$A$4:$G$9,7,0),0))</f>
        <v/>
      </c>
      <c r="H23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3" s="18">
        <f>VLOOKUP($A233,'Capital Gains Tax'!$A$4:$D$9,2,0)</f>
        <v/>
      </c>
      <c r="J233" s="18">
        <f>VLOOKUP($A233,'Capital Gains Tax'!$A$4:$D$9,3,0)</f>
        <v/>
      </c>
    </row>
    <row r="234" ht="15" customHeight="1">
      <c r="A234" s="9" t="inlineStr">
        <is>
          <t>UA</t>
        </is>
      </c>
      <c r="B234" s="9" t="inlineStr">
        <is>
          <t>IBKR+Wio+Exante</t>
        </is>
      </c>
      <c r="C234" s="15" t="inlineStr">
        <is>
          <t>IBKR</t>
        </is>
      </c>
      <c r="D234" s="15" t="inlineStr">
        <is>
          <t>Wio</t>
        </is>
      </c>
      <c r="E234" s="15" t="inlineStr">
        <is>
          <t>Exante</t>
        </is>
      </c>
      <c r="F234" s="9">
        <f>IF(OR(IF(C234="","", IFERROR(INDEX('Tax Residency Eligibility'!$B$4:$G$9,MATCH(C234,'Tax Residency Eligibility'!$A$4:$A$9,0),MATCH($A234,'Tax Residency Eligibility'!$B$3:$G$3,0)),"?"))="N",IF(D234="","", IFERROR(INDEX('Tax Residency Eligibility'!$B$4:$G$9,MATCH(D234,'Tax Residency Eligibility'!$A$4:$A$9,0),MATCH($A234,'Tax Residency Eligibility'!$B$3:$G$3,0)),"?"))="N",IF(E234="","", IFERROR(INDEX('Tax Residency Eligibility'!$B$4:$G$9,MATCH(E234,'Tax Residency Eligibility'!$A$4:$A$9,0),MATCH($A234,'Tax Residency Eligibility'!$B$3:$G$3,0)),"?"))="N"),"No",IF(OR(IF(C234="","", IFERROR(INDEX('Tax Residency Eligibility'!$B$4:$G$9,MATCH(C234,'Tax Residency Eligibility'!$A$4:$A$9,0),MATCH($A234,'Tax Residency Eligibility'!$B$3:$G$3,0)),"?"))="Check",IF(D234="","", IFERROR(INDEX('Tax Residency Eligibility'!$B$4:$G$9,MATCH(D234,'Tax Residency Eligibility'!$A$4:$A$9,0),MATCH($A234,'Tax Residency Eligibility'!$B$3:$G$3,0)),"?"))="Check",IF(E234="","", IFERROR(INDEX('Tax Residency Eligibility'!$B$4:$G$9,MATCH(E234,'Tax Residency Eligibility'!$A$4:$A$9,0),MATCH($A234,'Tax Residency Eligibility'!$B$3:$G$3,0)),"?"))="Check"),"Check directly","Yes"))</f>
        <v/>
      </c>
      <c r="G234" s="16">
        <f>IFERROR(VLOOKUP(C234,'Broker Fees'!$A$4:$G$9,7,0),0)+IF(D234="",0,IFERROR(VLOOKUP(D234,'Broker Fees'!$A$4:$G$9,7,0),0))+IF(E234="",0,IFERROR(VLOOKUP(E234,'Broker Fees'!$A$4:$G$9,7,0),0))</f>
        <v/>
      </c>
      <c r="H23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4" s="18">
        <f>VLOOKUP($A234,'Capital Gains Tax'!$A$4:$D$9,2,0)</f>
        <v/>
      </c>
      <c r="J234" s="18">
        <f>VLOOKUP($A234,'Capital Gains Tax'!$A$4:$D$9,3,0)</f>
        <v/>
      </c>
    </row>
    <row r="235" ht="15" customHeight="1">
      <c r="A235" s="9" t="inlineStr">
        <is>
          <t>UA</t>
        </is>
      </c>
      <c r="B235" s="9" t="inlineStr">
        <is>
          <t>IBKR+Wio+Swissquote</t>
        </is>
      </c>
      <c r="C235" s="15" t="inlineStr">
        <is>
          <t>IBKR</t>
        </is>
      </c>
      <c r="D235" s="15" t="inlineStr">
        <is>
          <t>Wio</t>
        </is>
      </c>
      <c r="E235" s="15" t="inlineStr">
        <is>
          <t>Swissquote</t>
        </is>
      </c>
      <c r="F235" s="9">
        <f>IF(OR(IF(C235="","", IFERROR(INDEX('Tax Residency Eligibility'!$B$4:$G$9,MATCH(C235,'Tax Residency Eligibility'!$A$4:$A$9,0),MATCH($A235,'Tax Residency Eligibility'!$B$3:$G$3,0)),"?"))="N",IF(D235="","", IFERROR(INDEX('Tax Residency Eligibility'!$B$4:$G$9,MATCH(D235,'Tax Residency Eligibility'!$A$4:$A$9,0),MATCH($A235,'Tax Residency Eligibility'!$B$3:$G$3,0)),"?"))="N",IF(E235="","", IFERROR(INDEX('Tax Residency Eligibility'!$B$4:$G$9,MATCH(E235,'Tax Residency Eligibility'!$A$4:$A$9,0),MATCH($A235,'Tax Residency Eligibility'!$B$3:$G$3,0)),"?"))="N"),"No",IF(OR(IF(C235="","", IFERROR(INDEX('Tax Residency Eligibility'!$B$4:$G$9,MATCH(C235,'Tax Residency Eligibility'!$A$4:$A$9,0),MATCH($A235,'Tax Residency Eligibility'!$B$3:$G$3,0)),"?"))="Check",IF(D235="","", IFERROR(INDEX('Tax Residency Eligibility'!$B$4:$G$9,MATCH(D235,'Tax Residency Eligibility'!$A$4:$A$9,0),MATCH($A235,'Tax Residency Eligibility'!$B$3:$G$3,0)),"?"))="Check",IF(E235="","", IFERROR(INDEX('Tax Residency Eligibility'!$B$4:$G$9,MATCH(E235,'Tax Residency Eligibility'!$A$4:$A$9,0),MATCH($A235,'Tax Residency Eligibility'!$B$3:$G$3,0)),"?"))="Check"),"Check directly","Yes"))</f>
        <v/>
      </c>
      <c r="G235" s="16">
        <f>IFERROR(VLOOKUP(C235,'Broker Fees'!$A$4:$G$9,7,0),0)+IF(D235="",0,IFERROR(VLOOKUP(D235,'Broker Fees'!$A$4:$G$9,7,0),0))+IF(E235="",0,IFERROR(VLOOKUP(E235,'Broker Fees'!$A$4:$G$9,7,0),0))</f>
        <v/>
      </c>
      <c r="H23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5" s="18">
        <f>VLOOKUP($A235,'Capital Gains Tax'!$A$4:$D$9,2,0)</f>
        <v/>
      </c>
      <c r="J235" s="18">
        <f>VLOOKUP($A235,'Capital Gains Tax'!$A$4:$D$9,3,0)</f>
        <v/>
      </c>
    </row>
    <row r="236" ht="15" customHeight="1">
      <c r="A236" s="9" t="inlineStr">
        <is>
          <t>UA</t>
        </is>
      </c>
      <c r="B236" s="9" t="inlineStr">
        <is>
          <t>IBKR+Wio+XTB</t>
        </is>
      </c>
      <c r="C236" s="15" t="inlineStr">
        <is>
          <t>IBKR</t>
        </is>
      </c>
      <c r="D236" s="15" t="inlineStr">
        <is>
          <t>Wio</t>
        </is>
      </c>
      <c r="E236" s="15" t="inlineStr">
        <is>
          <t>XTB</t>
        </is>
      </c>
      <c r="F236" s="9">
        <f>IF(OR(IF(C236="","", IFERROR(INDEX('Tax Residency Eligibility'!$B$4:$G$9,MATCH(C236,'Tax Residency Eligibility'!$A$4:$A$9,0),MATCH($A236,'Tax Residency Eligibility'!$B$3:$G$3,0)),"?"))="N",IF(D236="","", IFERROR(INDEX('Tax Residency Eligibility'!$B$4:$G$9,MATCH(D236,'Tax Residency Eligibility'!$A$4:$A$9,0),MATCH($A236,'Tax Residency Eligibility'!$B$3:$G$3,0)),"?"))="N",IF(E236="","", IFERROR(INDEX('Tax Residency Eligibility'!$B$4:$G$9,MATCH(E236,'Tax Residency Eligibility'!$A$4:$A$9,0),MATCH($A236,'Tax Residency Eligibility'!$B$3:$G$3,0)),"?"))="N"),"No",IF(OR(IF(C236="","", IFERROR(INDEX('Tax Residency Eligibility'!$B$4:$G$9,MATCH(C236,'Tax Residency Eligibility'!$A$4:$A$9,0),MATCH($A236,'Tax Residency Eligibility'!$B$3:$G$3,0)),"?"))="Check",IF(D236="","", IFERROR(INDEX('Tax Residency Eligibility'!$B$4:$G$9,MATCH(D236,'Tax Residency Eligibility'!$A$4:$A$9,0),MATCH($A236,'Tax Residency Eligibility'!$B$3:$G$3,0)),"?"))="Check",IF(E236="","", IFERROR(INDEX('Tax Residency Eligibility'!$B$4:$G$9,MATCH(E236,'Tax Residency Eligibility'!$A$4:$A$9,0),MATCH($A236,'Tax Residency Eligibility'!$B$3:$G$3,0)),"?"))="Check"),"Check directly","Yes"))</f>
        <v/>
      </c>
      <c r="G236" s="16">
        <f>IFERROR(VLOOKUP(C236,'Broker Fees'!$A$4:$G$9,7,0),0)+IF(D236="",0,IFERROR(VLOOKUP(D236,'Broker Fees'!$A$4:$G$9,7,0),0))+IF(E236="",0,IFERROR(VLOOKUP(E236,'Broker Fees'!$A$4:$G$9,7,0),0))</f>
        <v/>
      </c>
      <c r="H23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6" s="18">
        <f>VLOOKUP($A236,'Capital Gains Tax'!$A$4:$D$9,2,0)</f>
        <v/>
      </c>
      <c r="J236" s="18">
        <f>VLOOKUP($A236,'Capital Gains Tax'!$A$4:$D$9,3,0)</f>
        <v/>
      </c>
    </row>
    <row r="237" ht="15" customHeight="1">
      <c r="A237" s="9" t="inlineStr">
        <is>
          <t>UA</t>
        </is>
      </c>
      <c r="B237" s="9" t="inlineStr">
        <is>
          <t>IBKR+Exante+Swissquote</t>
        </is>
      </c>
      <c r="C237" s="15" t="inlineStr">
        <is>
          <t>IBKR</t>
        </is>
      </c>
      <c r="D237" s="15" t="inlineStr">
        <is>
          <t>Exante</t>
        </is>
      </c>
      <c r="E237" s="15" t="inlineStr">
        <is>
          <t>Swissquote</t>
        </is>
      </c>
      <c r="F237" s="9">
        <f>IF(OR(IF(C237="","", IFERROR(INDEX('Tax Residency Eligibility'!$B$4:$G$9,MATCH(C237,'Tax Residency Eligibility'!$A$4:$A$9,0),MATCH($A237,'Tax Residency Eligibility'!$B$3:$G$3,0)),"?"))="N",IF(D237="","", IFERROR(INDEX('Tax Residency Eligibility'!$B$4:$G$9,MATCH(D237,'Tax Residency Eligibility'!$A$4:$A$9,0),MATCH($A237,'Tax Residency Eligibility'!$B$3:$G$3,0)),"?"))="N",IF(E237="","", IFERROR(INDEX('Tax Residency Eligibility'!$B$4:$G$9,MATCH(E237,'Tax Residency Eligibility'!$A$4:$A$9,0),MATCH($A237,'Tax Residency Eligibility'!$B$3:$G$3,0)),"?"))="N"),"No",IF(OR(IF(C237="","", IFERROR(INDEX('Tax Residency Eligibility'!$B$4:$G$9,MATCH(C237,'Tax Residency Eligibility'!$A$4:$A$9,0),MATCH($A237,'Tax Residency Eligibility'!$B$3:$G$3,0)),"?"))="Check",IF(D237="","", IFERROR(INDEX('Tax Residency Eligibility'!$B$4:$G$9,MATCH(D237,'Tax Residency Eligibility'!$A$4:$A$9,0),MATCH($A237,'Tax Residency Eligibility'!$B$3:$G$3,0)),"?"))="Check",IF(E237="","", IFERROR(INDEX('Tax Residency Eligibility'!$B$4:$G$9,MATCH(E237,'Tax Residency Eligibility'!$A$4:$A$9,0),MATCH($A237,'Tax Residency Eligibility'!$B$3:$G$3,0)),"?"))="Check"),"Check directly","Yes"))</f>
        <v/>
      </c>
      <c r="G237" s="16">
        <f>IFERROR(VLOOKUP(C237,'Broker Fees'!$A$4:$G$9,7,0),0)+IF(D237="",0,IFERROR(VLOOKUP(D237,'Broker Fees'!$A$4:$G$9,7,0),0))+IF(E237="",0,IFERROR(VLOOKUP(E237,'Broker Fees'!$A$4:$G$9,7,0),0))</f>
        <v/>
      </c>
      <c r="H23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7" s="18">
        <f>VLOOKUP($A237,'Capital Gains Tax'!$A$4:$D$9,2,0)</f>
        <v/>
      </c>
      <c r="J237" s="18">
        <f>VLOOKUP($A237,'Capital Gains Tax'!$A$4:$D$9,3,0)</f>
        <v/>
      </c>
    </row>
    <row r="238" ht="15" customHeight="1">
      <c r="A238" s="9" t="inlineStr">
        <is>
          <t>UA</t>
        </is>
      </c>
      <c r="B238" s="9" t="inlineStr">
        <is>
          <t>IBKR+Exante+XTB</t>
        </is>
      </c>
      <c r="C238" s="15" t="inlineStr">
        <is>
          <t>IBKR</t>
        </is>
      </c>
      <c r="D238" s="15" t="inlineStr">
        <is>
          <t>Exante</t>
        </is>
      </c>
      <c r="E238" s="15" t="inlineStr">
        <is>
          <t>XTB</t>
        </is>
      </c>
      <c r="F238" s="9">
        <f>IF(OR(IF(C238="","", IFERROR(INDEX('Tax Residency Eligibility'!$B$4:$G$9,MATCH(C238,'Tax Residency Eligibility'!$A$4:$A$9,0),MATCH($A238,'Tax Residency Eligibility'!$B$3:$G$3,0)),"?"))="N",IF(D238="","", IFERROR(INDEX('Tax Residency Eligibility'!$B$4:$G$9,MATCH(D238,'Tax Residency Eligibility'!$A$4:$A$9,0),MATCH($A238,'Tax Residency Eligibility'!$B$3:$G$3,0)),"?"))="N",IF(E238="","", IFERROR(INDEX('Tax Residency Eligibility'!$B$4:$G$9,MATCH(E238,'Tax Residency Eligibility'!$A$4:$A$9,0),MATCH($A238,'Tax Residency Eligibility'!$B$3:$G$3,0)),"?"))="N"),"No",IF(OR(IF(C238="","", IFERROR(INDEX('Tax Residency Eligibility'!$B$4:$G$9,MATCH(C238,'Tax Residency Eligibility'!$A$4:$A$9,0),MATCH($A238,'Tax Residency Eligibility'!$B$3:$G$3,0)),"?"))="Check",IF(D238="","", IFERROR(INDEX('Tax Residency Eligibility'!$B$4:$G$9,MATCH(D238,'Tax Residency Eligibility'!$A$4:$A$9,0),MATCH($A238,'Tax Residency Eligibility'!$B$3:$G$3,0)),"?"))="Check",IF(E238="","", IFERROR(INDEX('Tax Residency Eligibility'!$B$4:$G$9,MATCH(E238,'Tax Residency Eligibility'!$A$4:$A$9,0),MATCH($A238,'Tax Residency Eligibility'!$B$3:$G$3,0)),"?"))="Check"),"Check directly","Yes"))</f>
        <v/>
      </c>
      <c r="G238" s="16">
        <f>IFERROR(VLOOKUP(C238,'Broker Fees'!$A$4:$G$9,7,0),0)+IF(D238="",0,IFERROR(VLOOKUP(D238,'Broker Fees'!$A$4:$G$9,7,0),0))+IF(E238="",0,IFERROR(VLOOKUP(E238,'Broker Fees'!$A$4:$G$9,7,0),0))</f>
        <v/>
      </c>
      <c r="H23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8" s="18">
        <f>VLOOKUP($A238,'Capital Gains Tax'!$A$4:$D$9,2,0)</f>
        <v/>
      </c>
      <c r="J238" s="18">
        <f>VLOOKUP($A238,'Capital Gains Tax'!$A$4:$D$9,3,0)</f>
        <v/>
      </c>
    </row>
    <row r="239" ht="15" customHeight="1">
      <c r="A239" s="9" t="inlineStr">
        <is>
          <t>UA</t>
        </is>
      </c>
      <c r="B239" s="9" t="inlineStr">
        <is>
          <t>IBKR+Swissquote+XTB</t>
        </is>
      </c>
      <c r="C239" s="15" t="inlineStr">
        <is>
          <t>IBKR</t>
        </is>
      </c>
      <c r="D239" s="15" t="inlineStr">
        <is>
          <t>Swissquote</t>
        </is>
      </c>
      <c r="E239" s="15" t="inlineStr">
        <is>
          <t>XTB</t>
        </is>
      </c>
      <c r="F239" s="9">
        <f>IF(OR(IF(C239="","", IFERROR(INDEX('Tax Residency Eligibility'!$B$4:$G$9,MATCH(C239,'Tax Residency Eligibility'!$A$4:$A$9,0),MATCH($A239,'Tax Residency Eligibility'!$B$3:$G$3,0)),"?"))="N",IF(D239="","", IFERROR(INDEX('Tax Residency Eligibility'!$B$4:$G$9,MATCH(D239,'Tax Residency Eligibility'!$A$4:$A$9,0),MATCH($A239,'Tax Residency Eligibility'!$B$3:$G$3,0)),"?"))="N",IF(E239="","", IFERROR(INDEX('Tax Residency Eligibility'!$B$4:$G$9,MATCH(E239,'Tax Residency Eligibility'!$A$4:$A$9,0),MATCH($A239,'Tax Residency Eligibility'!$B$3:$G$3,0)),"?"))="N"),"No",IF(OR(IF(C239="","", IFERROR(INDEX('Tax Residency Eligibility'!$B$4:$G$9,MATCH(C239,'Tax Residency Eligibility'!$A$4:$A$9,0),MATCH($A239,'Tax Residency Eligibility'!$B$3:$G$3,0)),"?"))="Check",IF(D239="","", IFERROR(INDEX('Tax Residency Eligibility'!$B$4:$G$9,MATCH(D239,'Tax Residency Eligibility'!$A$4:$A$9,0),MATCH($A239,'Tax Residency Eligibility'!$B$3:$G$3,0)),"?"))="Check",IF(E239="","", IFERROR(INDEX('Tax Residency Eligibility'!$B$4:$G$9,MATCH(E239,'Tax Residency Eligibility'!$A$4:$A$9,0),MATCH($A239,'Tax Residency Eligibility'!$B$3:$G$3,0)),"?"))="Check"),"Check directly","Yes"))</f>
        <v/>
      </c>
      <c r="G239" s="16">
        <f>IFERROR(VLOOKUP(C239,'Broker Fees'!$A$4:$G$9,7,0),0)+IF(D239="",0,IFERROR(VLOOKUP(D239,'Broker Fees'!$A$4:$G$9,7,0),0))+IF(E239="",0,IFERROR(VLOOKUP(E239,'Broker Fees'!$A$4:$G$9,7,0),0))</f>
        <v/>
      </c>
      <c r="H23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39" s="18">
        <f>VLOOKUP($A239,'Capital Gains Tax'!$A$4:$D$9,2,0)</f>
        <v/>
      </c>
      <c r="J239" s="18">
        <f>VLOOKUP($A239,'Capital Gains Tax'!$A$4:$D$9,3,0)</f>
        <v/>
      </c>
    </row>
    <row r="240" ht="15" customHeight="1">
      <c r="A240" s="9" t="inlineStr">
        <is>
          <t>UA</t>
        </is>
      </c>
      <c r="B240" s="9" t="inlineStr">
        <is>
          <t>Saxo+Wio+Exante</t>
        </is>
      </c>
      <c r="C240" s="15" t="inlineStr">
        <is>
          <t>Saxo</t>
        </is>
      </c>
      <c r="D240" s="15" t="inlineStr">
        <is>
          <t>Wio</t>
        </is>
      </c>
      <c r="E240" s="15" t="inlineStr">
        <is>
          <t>Exante</t>
        </is>
      </c>
      <c r="F240" s="9">
        <f>IF(OR(IF(C240="","", IFERROR(INDEX('Tax Residency Eligibility'!$B$4:$G$9,MATCH(C240,'Tax Residency Eligibility'!$A$4:$A$9,0),MATCH($A240,'Tax Residency Eligibility'!$B$3:$G$3,0)),"?"))="N",IF(D240="","", IFERROR(INDEX('Tax Residency Eligibility'!$B$4:$G$9,MATCH(D240,'Tax Residency Eligibility'!$A$4:$A$9,0),MATCH($A240,'Tax Residency Eligibility'!$B$3:$G$3,0)),"?"))="N",IF(E240="","", IFERROR(INDEX('Tax Residency Eligibility'!$B$4:$G$9,MATCH(E240,'Tax Residency Eligibility'!$A$4:$A$9,0),MATCH($A240,'Tax Residency Eligibility'!$B$3:$G$3,0)),"?"))="N"),"No",IF(OR(IF(C240="","", IFERROR(INDEX('Tax Residency Eligibility'!$B$4:$G$9,MATCH(C240,'Tax Residency Eligibility'!$A$4:$A$9,0),MATCH($A240,'Tax Residency Eligibility'!$B$3:$G$3,0)),"?"))="Check",IF(D240="","", IFERROR(INDEX('Tax Residency Eligibility'!$B$4:$G$9,MATCH(D240,'Tax Residency Eligibility'!$A$4:$A$9,0),MATCH($A240,'Tax Residency Eligibility'!$B$3:$G$3,0)),"?"))="Check",IF(E240="","", IFERROR(INDEX('Tax Residency Eligibility'!$B$4:$G$9,MATCH(E240,'Tax Residency Eligibility'!$A$4:$A$9,0),MATCH($A240,'Tax Residency Eligibility'!$B$3:$G$3,0)),"?"))="Check"),"Check directly","Yes"))</f>
        <v/>
      </c>
      <c r="G240" s="16">
        <f>IFERROR(VLOOKUP(C240,'Broker Fees'!$A$4:$G$9,7,0),0)+IF(D240="",0,IFERROR(VLOOKUP(D240,'Broker Fees'!$A$4:$G$9,7,0),0))+IF(E240="",0,IFERROR(VLOOKUP(E240,'Broker Fees'!$A$4:$G$9,7,0),0))</f>
        <v/>
      </c>
      <c r="H240"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0" s="18">
        <f>VLOOKUP($A240,'Capital Gains Tax'!$A$4:$D$9,2,0)</f>
        <v/>
      </c>
      <c r="J240" s="18">
        <f>VLOOKUP($A240,'Capital Gains Tax'!$A$4:$D$9,3,0)</f>
        <v/>
      </c>
    </row>
    <row r="241" ht="15" customHeight="1">
      <c r="A241" s="9" t="inlineStr">
        <is>
          <t>UA</t>
        </is>
      </c>
      <c r="B241" s="9" t="inlineStr">
        <is>
          <t>Saxo+Wio+Swissquote</t>
        </is>
      </c>
      <c r="C241" s="15" t="inlineStr">
        <is>
          <t>Saxo</t>
        </is>
      </c>
      <c r="D241" s="15" t="inlineStr">
        <is>
          <t>Wio</t>
        </is>
      </c>
      <c r="E241" s="15" t="inlineStr">
        <is>
          <t>Swissquote</t>
        </is>
      </c>
      <c r="F241" s="9">
        <f>IF(OR(IF(C241="","", IFERROR(INDEX('Tax Residency Eligibility'!$B$4:$G$9,MATCH(C241,'Tax Residency Eligibility'!$A$4:$A$9,0),MATCH($A241,'Tax Residency Eligibility'!$B$3:$G$3,0)),"?"))="N",IF(D241="","", IFERROR(INDEX('Tax Residency Eligibility'!$B$4:$G$9,MATCH(D241,'Tax Residency Eligibility'!$A$4:$A$9,0),MATCH($A241,'Tax Residency Eligibility'!$B$3:$G$3,0)),"?"))="N",IF(E241="","", IFERROR(INDEX('Tax Residency Eligibility'!$B$4:$G$9,MATCH(E241,'Tax Residency Eligibility'!$A$4:$A$9,0),MATCH($A241,'Tax Residency Eligibility'!$B$3:$G$3,0)),"?"))="N"),"No",IF(OR(IF(C241="","", IFERROR(INDEX('Tax Residency Eligibility'!$B$4:$G$9,MATCH(C241,'Tax Residency Eligibility'!$A$4:$A$9,0),MATCH($A241,'Tax Residency Eligibility'!$B$3:$G$3,0)),"?"))="Check",IF(D241="","", IFERROR(INDEX('Tax Residency Eligibility'!$B$4:$G$9,MATCH(D241,'Tax Residency Eligibility'!$A$4:$A$9,0),MATCH($A241,'Tax Residency Eligibility'!$B$3:$G$3,0)),"?"))="Check",IF(E241="","", IFERROR(INDEX('Tax Residency Eligibility'!$B$4:$G$9,MATCH(E241,'Tax Residency Eligibility'!$A$4:$A$9,0),MATCH($A241,'Tax Residency Eligibility'!$B$3:$G$3,0)),"?"))="Check"),"Check directly","Yes"))</f>
        <v/>
      </c>
      <c r="G241" s="16">
        <f>IFERROR(VLOOKUP(C241,'Broker Fees'!$A$4:$G$9,7,0),0)+IF(D241="",0,IFERROR(VLOOKUP(D241,'Broker Fees'!$A$4:$G$9,7,0),0))+IF(E241="",0,IFERROR(VLOOKUP(E241,'Broker Fees'!$A$4:$G$9,7,0),0))</f>
        <v/>
      </c>
      <c r="H241"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1" s="18">
        <f>VLOOKUP($A241,'Capital Gains Tax'!$A$4:$D$9,2,0)</f>
        <v/>
      </c>
      <c r="J241" s="18">
        <f>VLOOKUP($A241,'Capital Gains Tax'!$A$4:$D$9,3,0)</f>
        <v/>
      </c>
    </row>
    <row r="242" ht="15" customHeight="1">
      <c r="A242" s="9" t="inlineStr">
        <is>
          <t>UA</t>
        </is>
      </c>
      <c r="B242" s="9" t="inlineStr">
        <is>
          <t>Saxo+Wio+XTB</t>
        </is>
      </c>
      <c r="C242" s="15" t="inlineStr">
        <is>
          <t>Saxo</t>
        </is>
      </c>
      <c r="D242" s="15" t="inlineStr">
        <is>
          <t>Wio</t>
        </is>
      </c>
      <c r="E242" s="15" t="inlineStr">
        <is>
          <t>XTB</t>
        </is>
      </c>
      <c r="F242" s="9">
        <f>IF(OR(IF(C242="","", IFERROR(INDEX('Tax Residency Eligibility'!$B$4:$G$9,MATCH(C242,'Tax Residency Eligibility'!$A$4:$A$9,0),MATCH($A242,'Tax Residency Eligibility'!$B$3:$G$3,0)),"?"))="N",IF(D242="","", IFERROR(INDEX('Tax Residency Eligibility'!$B$4:$G$9,MATCH(D242,'Tax Residency Eligibility'!$A$4:$A$9,0),MATCH($A242,'Tax Residency Eligibility'!$B$3:$G$3,0)),"?"))="N",IF(E242="","", IFERROR(INDEX('Tax Residency Eligibility'!$B$4:$G$9,MATCH(E242,'Tax Residency Eligibility'!$A$4:$A$9,0),MATCH($A242,'Tax Residency Eligibility'!$B$3:$G$3,0)),"?"))="N"),"No",IF(OR(IF(C242="","", IFERROR(INDEX('Tax Residency Eligibility'!$B$4:$G$9,MATCH(C242,'Tax Residency Eligibility'!$A$4:$A$9,0),MATCH($A242,'Tax Residency Eligibility'!$B$3:$G$3,0)),"?"))="Check",IF(D242="","", IFERROR(INDEX('Tax Residency Eligibility'!$B$4:$G$9,MATCH(D242,'Tax Residency Eligibility'!$A$4:$A$9,0),MATCH($A242,'Tax Residency Eligibility'!$B$3:$G$3,0)),"?"))="Check",IF(E242="","", IFERROR(INDEX('Tax Residency Eligibility'!$B$4:$G$9,MATCH(E242,'Tax Residency Eligibility'!$A$4:$A$9,0),MATCH($A242,'Tax Residency Eligibility'!$B$3:$G$3,0)),"?"))="Check"),"Check directly","Yes"))</f>
        <v/>
      </c>
      <c r="G242" s="16">
        <f>IFERROR(VLOOKUP(C242,'Broker Fees'!$A$4:$G$9,7,0),0)+IF(D242="",0,IFERROR(VLOOKUP(D242,'Broker Fees'!$A$4:$G$9,7,0),0))+IF(E242="",0,IFERROR(VLOOKUP(E242,'Broker Fees'!$A$4:$G$9,7,0),0))</f>
        <v/>
      </c>
      <c r="H242"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2" s="18">
        <f>VLOOKUP($A242,'Capital Gains Tax'!$A$4:$D$9,2,0)</f>
        <v/>
      </c>
      <c r="J242" s="18">
        <f>VLOOKUP($A242,'Capital Gains Tax'!$A$4:$D$9,3,0)</f>
        <v/>
      </c>
    </row>
    <row r="243" ht="15" customHeight="1">
      <c r="A243" s="9" t="inlineStr">
        <is>
          <t>UA</t>
        </is>
      </c>
      <c r="B243" s="9" t="inlineStr">
        <is>
          <t>Saxo+Exante+Swissquote</t>
        </is>
      </c>
      <c r="C243" s="15" t="inlineStr">
        <is>
          <t>Saxo</t>
        </is>
      </c>
      <c r="D243" s="15" t="inlineStr">
        <is>
          <t>Exante</t>
        </is>
      </c>
      <c r="E243" s="15" t="inlineStr">
        <is>
          <t>Swissquote</t>
        </is>
      </c>
      <c r="F243" s="9">
        <f>IF(OR(IF(C243="","", IFERROR(INDEX('Tax Residency Eligibility'!$B$4:$G$9,MATCH(C243,'Tax Residency Eligibility'!$A$4:$A$9,0),MATCH($A243,'Tax Residency Eligibility'!$B$3:$G$3,0)),"?"))="N",IF(D243="","", IFERROR(INDEX('Tax Residency Eligibility'!$B$4:$G$9,MATCH(D243,'Tax Residency Eligibility'!$A$4:$A$9,0),MATCH($A243,'Tax Residency Eligibility'!$B$3:$G$3,0)),"?"))="N",IF(E243="","", IFERROR(INDEX('Tax Residency Eligibility'!$B$4:$G$9,MATCH(E243,'Tax Residency Eligibility'!$A$4:$A$9,0),MATCH($A243,'Tax Residency Eligibility'!$B$3:$G$3,0)),"?"))="N"),"No",IF(OR(IF(C243="","", IFERROR(INDEX('Tax Residency Eligibility'!$B$4:$G$9,MATCH(C243,'Tax Residency Eligibility'!$A$4:$A$9,0),MATCH($A243,'Tax Residency Eligibility'!$B$3:$G$3,0)),"?"))="Check",IF(D243="","", IFERROR(INDEX('Tax Residency Eligibility'!$B$4:$G$9,MATCH(D243,'Tax Residency Eligibility'!$A$4:$A$9,0),MATCH($A243,'Tax Residency Eligibility'!$B$3:$G$3,0)),"?"))="Check",IF(E243="","", IFERROR(INDEX('Tax Residency Eligibility'!$B$4:$G$9,MATCH(E243,'Tax Residency Eligibility'!$A$4:$A$9,0),MATCH($A243,'Tax Residency Eligibility'!$B$3:$G$3,0)),"?"))="Check"),"Check directly","Yes"))</f>
        <v/>
      </c>
      <c r="G243" s="16">
        <f>IFERROR(VLOOKUP(C243,'Broker Fees'!$A$4:$G$9,7,0),0)+IF(D243="",0,IFERROR(VLOOKUP(D243,'Broker Fees'!$A$4:$G$9,7,0),0))+IF(E243="",0,IFERROR(VLOOKUP(E243,'Broker Fees'!$A$4:$G$9,7,0),0))</f>
        <v/>
      </c>
      <c r="H243"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3" s="18">
        <f>VLOOKUP($A243,'Capital Gains Tax'!$A$4:$D$9,2,0)</f>
        <v/>
      </c>
      <c r="J243" s="18">
        <f>VLOOKUP($A243,'Capital Gains Tax'!$A$4:$D$9,3,0)</f>
        <v/>
      </c>
    </row>
    <row r="244" ht="15" customHeight="1">
      <c r="A244" s="9" t="inlineStr">
        <is>
          <t>UA</t>
        </is>
      </c>
      <c r="B244" s="9" t="inlineStr">
        <is>
          <t>Saxo+Exante+XTB</t>
        </is>
      </c>
      <c r="C244" s="15" t="inlineStr">
        <is>
          <t>Saxo</t>
        </is>
      </c>
      <c r="D244" s="15" t="inlineStr">
        <is>
          <t>Exante</t>
        </is>
      </c>
      <c r="E244" s="15" t="inlineStr">
        <is>
          <t>XTB</t>
        </is>
      </c>
      <c r="F244" s="9">
        <f>IF(OR(IF(C244="","", IFERROR(INDEX('Tax Residency Eligibility'!$B$4:$G$9,MATCH(C244,'Tax Residency Eligibility'!$A$4:$A$9,0),MATCH($A244,'Tax Residency Eligibility'!$B$3:$G$3,0)),"?"))="N",IF(D244="","", IFERROR(INDEX('Tax Residency Eligibility'!$B$4:$G$9,MATCH(D244,'Tax Residency Eligibility'!$A$4:$A$9,0),MATCH($A244,'Tax Residency Eligibility'!$B$3:$G$3,0)),"?"))="N",IF(E244="","", IFERROR(INDEX('Tax Residency Eligibility'!$B$4:$G$9,MATCH(E244,'Tax Residency Eligibility'!$A$4:$A$9,0),MATCH($A244,'Tax Residency Eligibility'!$B$3:$G$3,0)),"?"))="N"),"No",IF(OR(IF(C244="","", IFERROR(INDEX('Tax Residency Eligibility'!$B$4:$G$9,MATCH(C244,'Tax Residency Eligibility'!$A$4:$A$9,0),MATCH($A244,'Tax Residency Eligibility'!$B$3:$G$3,0)),"?"))="Check",IF(D244="","", IFERROR(INDEX('Tax Residency Eligibility'!$B$4:$G$9,MATCH(D244,'Tax Residency Eligibility'!$A$4:$A$9,0),MATCH($A244,'Tax Residency Eligibility'!$B$3:$G$3,0)),"?"))="Check",IF(E244="","", IFERROR(INDEX('Tax Residency Eligibility'!$B$4:$G$9,MATCH(E244,'Tax Residency Eligibility'!$A$4:$A$9,0),MATCH($A244,'Tax Residency Eligibility'!$B$3:$G$3,0)),"?"))="Check"),"Check directly","Yes"))</f>
        <v/>
      </c>
      <c r="G244" s="16">
        <f>IFERROR(VLOOKUP(C244,'Broker Fees'!$A$4:$G$9,7,0),0)+IF(D244="",0,IFERROR(VLOOKUP(D244,'Broker Fees'!$A$4:$G$9,7,0),0))+IF(E244="",0,IFERROR(VLOOKUP(E244,'Broker Fees'!$A$4:$G$9,7,0),0))</f>
        <v/>
      </c>
      <c r="H244"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4" s="18">
        <f>VLOOKUP($A244,'Capital Gains Tax'!$A$4:$D$9,2,0)</f>
        <v/>
      </c>
      <c r="J244" s="18">
        <f>VLOOKUP($A244,'Capital Gains Tax'!$A$4:$D$9,3,0)</f>
        <v/>
      </c>
    </row>
    <row r="245" ht="15" customHeight="1">
      <c r="A245" s="9" t="inlineStr">
        <is>
          <t>UA</t>
        </is>
      </c>
      <c r="B245" s="9" t="inlineStr">
        <is>
          <t>Saxo+Swissquote+XTB</t>
        </is>
      </c>
      <c r="C245" s="15" t="inlineStr">
        <is>
          <t>Saxo</t>
        </is>
      </c>
      <c r="D245" s="15" t="inlineStr">
        <is>
          <t>Swissquote</t>
        </is>
      </c>
      <c r="E245" s="15" t="inlineStr">
        <is>
          <t>XTB</t>
        </is>
      </c>
      <c r="F245" s="9">
        <f>IF(OR(IF(C245="","", IFERROR(INDEX('Tax Residency Eligibility'!$B$4:$G$9,MATCH(C245,'Tax Residency Eligibility'!$A$4:$A$9,0),MATCH($A245,'Tax Residency Eligibility'!$B$3:$G$3,0)),"?"))="N",IF(D245="","", IFERROR(INDEX('Tax Residency Eligibility'!$B$4:$G$9,MATCH(D245,'Tax Residency Eligibility'!$A$4:$A$9,0),MATCH($A245,'Tax Residency Eligibility'!$B$3:$G$3,0)),"?"))="N",IF(E245="","", IFERROR(INDEX('Tax Residency Eligibility'!$B$4:$G$9,MATCH(E245,'Tax Residency Eligibility'!$A$4:$A$9,0),MATCH($A245,'Tax Residency Eligibility'!$B$3:$G$3,0)),"?"))="N"),"No",IF(OR(IF(C245="","", IFERROR(INDEX('Tax Residency Eligibility'!$B$4:$G$9,MATCH(C245,'Tax Residency Eligibility'!$A$4:$A$9,0),MATCH($A245,'Tax Residency Eligibility'!$B$3:$G$3,0)),"?"))="Check",IF(D245="","", IFERROR(INDEX('Tax Residency Eligibility'!$B$4:$G$9,MATCH(D245,'Tax Residency Eligibility'!$A$4:$A$9,0),MATCH($A245,'Tax Residency Eligibility'!$B$3:$G$3,0)),"?"))="Check",IF(E245="","", IFERROR(INDEX('Tax Residency Eligibility'!$B$4:$G$9,MATCH(E245,'Tax Residency Eligibility'!$A$4:$A$9,0),MATCH($A245,'Tax Residency Eligibility'!$B$3:$G$3,0)),"?"))="Check"),"Check directly","Yes"))</f>
        <v/>
      </c>
      <c r="G245" s="16">
        <f>IFERROR(VLOOKUP(C245,'Broker Fees'!$A$4:$G$9,7,0),0)+IF(D245="",0,IFERROR(VLOOKUP(D245,'Broker Fees'!$A$4:$G$9,7,0),0))+IF(E245="",0,IFERROR(VLOOKUP(E245,'Broker Fees'!$A$4:$G$9,7,0),0))</f>
        <v/>
      </c>
      <c r="H245"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5" s="18">
        <f>VLOOKUP($A245,'Capital Gains Tax'!$A$4:$D$9,2,0)</f>
        <v/>
      </c>
      <c r="J245" s="18">
        <f>VLOOKUP($A245,'Capital Gains Tax'!$A$4:$D$9,3,0)</f>
        <v/>
      </c>
    </row>
    <row r="246" ht="15" customHeight="1">
      <c r="A246" s="9" t="inlineStr">
        <is>
          <t>UA</t>
        </is>
      </c>
      <c r="B246" s="9" t="inlineStr">
        <is>
          <t>Wio+Exante+Swissquote</t>
        </is>
      </c>
      <c r="C246" s="15" t="inlineStr">
        <is>
          <t>Wio</t>
        </is>
      </c>
      <c r="D246" s="15" t="inlineStr">
        <is>
          <t>Exante</t>
        </is>
      </c>
      <c r="E246" s="15" t="inlineStr">
        <is>
          <t>Swissquote</t>
        </is>
      </c>
      <c r="F246" s="9">
        <f>IF(OR(IF(C246="","", IFERROR(INDEX('Tax Residency Eligibility'!$B$4:$G$9,MATCH(C246,'Tax Residency Eligibility'!$A$4:$A$9,0),MATCH($A246,'Tax Residency Eligibility'!$B$3:$G$3,0)),"?"))="N",IF(D246="","", IFERROR(INDEX('Tax Residency Eligibility'!$B$4:$G$9,MATCH(D246,'Tax Residency Eligibility'!$A$4:$A$9,0),MATCH($A246,'Tax Residency Eligibility'!$B$3:$G$3,0)),"?"))="N",IF(E246="","", IFERROR(INDEX('Tax Residency Eligibility'!$B$4:$G$9,MATCH(E246,'Tax Residency Eligibility'!$A$4:$A$9,0),MATCH($A246,'Tax Residency Eligibility'!$B$3:$G$3,0)),"?"))="N"),"No",IF(OR(IF(C246="","", IFERROR(INDEX('Tax Residency Eligibility'!$B$4:$G$9,MATCH(C246,'Tax Residency Eligibility'!$A$4:$A$9,0),MATCH($A246,'Tax Residency Eligibility'!$B$3:$G$3,0)),"?"))="Check",IF(D246="","", IFERROR(INDEX('Tax Residency Eligibility'!$B$4:$G$9,MATCH(D246,'Tax Residency Eligibility'!$A$4:$A$9,0),MATCH($A246,'Tax Residency Eligibility'!$B$3:$G$3,0)),"?"))="Check",IF(E246="","", IFERROR(INDEX('Tax Residency Eligibility'!$B$4:$G$9,MATCH(E246,'Tax Residency Eligibility'!$A$4:$A$9,0),MATCH($A246,'Tax Residency Eligibility'!$B$3:$G$3,0)),"?"))="Check"),"Check directly","Yes"))</f>
        <v/>
      </c>
      <c r="G246" s="16">
        <f>IFERROR(VLOOKUP(C246,'Broker Fees'!$A$4:$G$9,7,0),0)+IF(D246="",0,IFERROR(VLOOKUP(D246,'Broker Fees'!$A$4:$G$9,7,0),0))+IF(E246="",0,IFERROR(VLOOKUP(E246,'Broker Fees'!$A$4:$G$9,7,0),0))</f>
        <v/>
      </c>
      <c r="H246"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6" s="18">
        <f>VLOOKUP($A246,'Capital Gains Tax'!$A$4:$D$9,2,0)</f>
        <v/>
      </c>
      <c r="J246" s="18">
        <f>VLOOKUP($A246,'Capital Gains Tax'!$A$4:$D$9,3,0)</f>
        <v/>
      </c>
    </row>
    <row r="247" ht="15" customHeight="1">
      <c r="A247" s="9" t="inlineStr">
        <is>
          <t>UA</t>
        </is>
      </c>
      <c r="B247" s="9" t="inlineStr">
        <is>
          <t>Wio+Exante+XTB</t>
        </is>
      </c>
      <c r="C247" s="15" t="inlineStr">
        <is>
          <t>Wio</t>
        </is>
      </c>
      <c r="D247" s="15" t="inlineStr">
        <is>
          <t>Exante</t>
        </is>
      </c>
      <c r="E247" s="15" t="inlineStr">
        <is>
          <t>XTB</t>
        </is>
      </c>
      <c r="F247" s="9">
        <f>IF(OR(IF(C247="","", IFERROR(INDEX('Tax Residency Eligibility'!$B$4:$G$9,MATCH(C247,'Tax Residency Eligibility'!$A$4:$A$9,0),MATCH($A247,'Tax Residency Eligibility'!$B$3:$G$3,0)),"?"))="N",IF(D247="","", IFERROR(INDEX('Tax Residency Eligibility'!$B$4:$G$9,MATCH(D247,'Tax Residency Eligibility'!$A$4:$A$9,0),MATCH($A247,'Tax Residency Eligibility'!$B$3:$G$3,0)),"?"))="N",IF(E247="","", IFERROR(INDEX('Tax Residency Eligibility'!$B$4:$G$9,MATCH(E247,'Tax Residency Eligibility'!$A$4:$A$9,0),MATCH($A247,'Tax Residency Eligibility'!$B$3:$G$3,0)),"?"))="N"),"No",IF(OR(IF(C247="","", IFERROR(INDEX('Tax Residency Eligibility'!$B$4:$G$9,MATCH(C247,'Tax Residency Eligibility'!$A$4:$A$9,0),MATCH($A247,'Tax Residency Eligibility'!$B$3:$G$3,0)),"?"))="Check",IF(D247="","", IFERROR(INDEX('Tax Residency Eligibility'!$B$4:$G$9,MATCH(D247,'Tax Residency Eligibility'!$A$4:$A$9,0),MATCH($A247,'Tax Residency Eligibility'!$B$3:$G$3,0)),"?"))="Check",IF(E247="","", IFERROR(INDEX('Tax Residency Eligibility'!$B$4:$G$9,MATCH(E247,'Tax Residency Eligibility'!$A$4:$A$9,0),MATCH($A247,'Tax Residency Eligibility'!$B$3:$G$3,0)),"?"))="Check"),"Check directly","Yes"))</f>
        <v/>
      </c>
      <c r="G247" s="16">
        <f>IFERROR(VLOOKUP(C247,'Broker Fees'!$A$4:$G$9,7,0),0)+IF(D247="",0,IFERROR(VLOOKUP(D247,'Broker Fees'!$A$4:$G$9,7,0),0))+IF(E247="",0,IFERROR(VLOOKUP(E247,'Broker Fees'!$A$4:$G$9,7,0),0))</f>
        <v/>
      </c>
      <c r="H247"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7" s="18">
        <f>VLOOKUP($A247,'Capital Gains Tax'!$A$4:$D$9,2,0)</f>
        <v/>
      </c>
      <c r="J247" s="18">
        <f>VLOOKUP($A247,'Capital Gains Tax'!$A$4:$D$9,3,0)</f>
        <v/>
      </c>
    </row>
    <row r="248" ht="15" customHeight="1">
      <c r="A248" s="9" t="inlineStr">
        <is>
          <t>UA</t>
        </is>
      </c>
      <c r="B248" s="9" t="inlineStr">
        <is>
          <t>Wio+Swissquote+XTB</t>
        </is>
      </c>
      <c r="C248" s="15" t="inlineStr">
        <is>
          <t>Wio</t>
        </is>
      </c>
      <c r="D248" s="15" t="inlineStr">
        <is>
          <t>Swissquote</t>
        </is>
      </c>
      <c r="E248" s="15" t="inlineStr">
        <is>
          <t>XTB</t>
        </is>
      </c>
      <c r="F248" s="9">
        <f>IF(OR(IF(C248="","", IFERROR(INDEX('Tax Residency Eligibility'!$B$4:$G$9,MATCH(C248,'Tax Residency Eligibility'!$A$4:$A$9,0),MATCH($A248,'Tax Residency Eligibility'!$B$3:$G$3,0)),"?"))="N",IF(D248="","", IFERROR(INDEX('Tax Residency Eligibility'!$B$4:$G$9,MATCH(D248,'Tax Residency Eligibility'!$A$4:$A$9,0),MATCH($A248,'Tax Residency Eligibility'!$B$3:$G$3,0)),"?"))="N",IF(E248="","", IFERROR(INDEX('Tax Residency Eligibility'!$B$4:$G$9,MATCH(E248,'Tax Residency Eligibility'!$A$4:$A$9,0),MATCH($A248,'Tax Residency Eligibility'!$B$3:$G$3,0)),"?"))="N"),"No",IF(OR(IF(C248="","", IFERROR(INDEX('Tax Residency Eligibility'!$B$4:$G$9,MATCH(C248,'Tax Residency Eligibility'!$A$4:$A$9,0),MATCH($A248,'Tax Residency Eligibility'!$B$3:$G$3,0)),"?"))="Check",IF(D248="","", IFERROR(INDEX('Tax Residency Eligibility'!$B$4:$G$9,MATCH(D248,'Tax Residency Eligibility'!$A$4:$A$9,0),MATCH($A248,'Tax Residency Eligibility'!$B$3:$G$3,0)),"?"))="Check",IF(E248="","", IFERROR(INDEX('Tax Residency Eligibility'!$B$4:$G$9,MATCH(E248,'Tax Residency Eligibility'!$A$4:$A$9,0),MATCH($A248,'Tax Residency Eligibility'!$B$3:$G$3,0)),"?"))="Check"),"Check directly","Yes"))</f>
        <v/>
      </c>
      <c r="G248" s="16">
        <f>IFERROR(VLOOKUP(C248,'Broker Fees'!$A$4:$G$9,7,0),0)+IF(D248="",0,IFERROR(VLOOKUP(D248,'Broker Fees'!$A$4:$G$9,7,0),0))+IF(E248="",0,IFERROR(VLOOKUP(E248,'Broker Fees'!$A$4:$G$9,7,0),0))</f>
        <v/>
      </c>
      <c r="H248"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8" s="18">
        <f>VLOOKUP($A248,'Capital Gains Tax'!$A$4:$D$9,2,0)</f>
        <v/>
      </c>
      <c r="J248" s="18">
        <f>VLOOKUP($A248,'Capital Gains Tax'!$A$4:$D$9,3,0)</f>
        <v/>
      </c>
    </row>
    <row r="249" ht="15" customHeight="1">
      <c r="A249" s="9" t="inlineStr">
        <is>
          <t>UA</t>
        </is>
      </c>
      <c r="B249" s="9" t="inlineStr">
        <is>
          <t>Exante+Swissquote+XTB</t>
        </is>
      </c>
      <c r="C249" s="15" t="inlineStr">
        <is>
          <t>Exante</t>
        </is>
      </c>
      <c r="D249" s="15" t="inlineStr">
        <is>
          <t>Swissquote</t>
        </is>
      </c>
      <c r="E249" s="15" t="inlineStr">
        <is>
          <t>XTB</t>
        </is>
      </c>
      <c r="F249" s="9">
        <f>IF(OR(IF(C249="","", IFERROR(INDEX('Tax Residency Eligibility'!$B$4:$G$9,MATCH(C249,'Tax Residency Eligibility'!$A$4:$A$9,0),MATCH($A249,'Tax Residency Eligibility'!$B$3:$G$3,0)),"?"))="N",IF(D249="","", IFERROR(INDEX('Tax Residency Eligibility'!$B$4:$G$9,MATCH(D249,'Tax Residency Eligibility'!$A$4:$A$9,0),MATCH($A249,'Tax Residency Eligibility'!$B$3:$G$3,0)),"?"))="N",IF(E249="","", IFERROR(INDEX('Tax Residency Eligibility'!$B$4:$G$9,MATCH(E249,'Tax Residency Eligibility'!$A$4:$A$9,0),MATCH($A249,'Tax Residency Eligibility'!$B$3:$G$3,0)),"?"))="N"),"No",IF(OR(IF(C249="","", IFERROR(INDEX('Tax Residency Eligibility'!$B$4:$G$9,MATCH(C249,'Tax Residency Eligibility'!$A$4:$A$9,0),MATCH($A249,'Tax Residency Eligibility'!$B$3:$G$3,0)),"?"))="Check",IF(D249="","", IFERROR(INDEX('Tax Residency Eligibility'!$B$4:$G$9,MATCH(D249,'Tax Residency Eligibility'!$A$4:$A$9,0),MATCH($A249,'Tax Residency Eligibility'!$B$3:$G$3,0)),"?"))="Check",IF(E249="","", IFERROR(INDEX('Tax Residency Eligibility'!$B$4:$G$9,MATCH(E249,'Tax Residency Eligibility'!$A$4:$A$9,0),MATCH($A249,'Tax Residency Eligibility'!$B$3:$G$3,0)),"?"))="Check"),"Check directly","Yes"))</f>
        <v/>
      </c>
      <c r="G249" s="16">
        <f>IFERROR(VLOOKUP(C249,'Broker Fees'!$A$4:$G$9,7,0),0)+IF(D249="",0,IFERROR(VLOOKUP(D249,'Broker Fees'!$A$4:$G$9,7,0),0))+IF(E249="",0,IFERROR(VLOOKUP(E249,'Broker Fees'!$A$4:$G$9,7,0),0))</f>
        <v/>
      </c>
      <c r="H249" s="17" t="inlineStr">
        <is>
          <t>Opening all brokers in this combo means meeting each one's minimum deposit separately (this column sums them) and paying each broker's own commission/custody/FX schedule — see Broker Fees sheet. Diversifying across brokers does not lower any individual fee.</t>
        </is>
      </c>
      <c r="I249" s="18">
        <f>VLOOKUP($A249,'Capital Gains Tax'!$A$4:$D$9,2,0)</f>
        <v/>
      </c>
      <c r="J249" s="18">
        <f>VLOOKUP($A249,'Capital Gains Tax'!$A$4:$D$9,3,0)</f>
        <v/>
      </c>
    </row>
  </sheetData>
  <mergeCells count="1">
    <mergeCell ref="A1:J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2026-07-05T22:13:54Z</dcterms:created>
  <dcterms:modified xmlns:dcterms="http://purl.org/dc/terms/" xmlns:xsi="http://www.w3.org/2001/XMLSchema-instance" xsi:type="dcterms:W3CDTF">2026-07-05T23:53:52Z</dcterms:modified>
  <cp:lastModifiedBy>Anastasiya Potapchuk</cp:lastModifiedBy>
  <cp:revision>0</cp:revision>
</cp:coreProperties>
</file>