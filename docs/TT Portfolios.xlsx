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TIVE BROKERS (IBKR)" sheetId="1" r:id="rId5"/>
    <sheet state="visible" name="SWISSQUOTE " sheetId="2" r:id="rId6"/>
    <sheet state="visible" name="EXANTE" sheetId="3" r:id="rId7"/>
    <sheet state="visible" name="SAXO" sheetId="4" r:id="rId8"/>
    <sheet state="visible" name="XTB" sheetId="5" r:id="rId9"/>
    <sheet state="visible" name="WIO" sheetId="6" r:id="rId10"/>
  </sheets>
  <definedNames/>
  <calcPr/>
</workbook>
</file>

<file path=xl/sharedStrings.xml><?xml version="1.0" encoding="utf-8"?>
<sst xmlns="http://schemas.openxmlformats.org/spreadsheetml/2006/main" count="652" uniqueCount="74">
  <si>
    <t>INTERACTIVE BROKERS (IBKR)</t>
  </si>
  <si>
    <t>Conservative - $</t>
  </si>
  <si>
    <t>Symbol</t>
  </si>
  <si>
    <t>Type</t>
  </si>
  <si>
    <t>Qty</t>
  </si>
  <si>
    <t>Price</t>
  </si>
  <si>
    <t>Value</t>
  </si>
  <si>
    <t>Weight</t>
  </si>
  <si>
    <t>Total Portfolio Value (USD)</t>
  </si>
  <si>
    <t>TLT</t>
  </si>
  <si>
    <t>Bonds ETF</t>
  </si>
  <si>
    <t>LQD</t>
  </si>
  <si>
    <t>IG Bonds ETF</t>
  </si>
  <si>
    <t>SPY</t>
  </si>
  <si>
    <t>ETF</t>
  </si>
  <si>
    <t>QQQ</t>
  </si>
  <si>
    <t>Cash</t>
  </si>
  <si>
    <t>USD</t>
  </si>
  <si>
    <t>-</t>
  </si>
  <si>
    <t>Moderate - $</t>
  </si>
  <si>
    <t>NVDA</t>
  </si>
  <si>
    <t>Stock</t>
  </si>
  <si>
    <t>MSFT</t>
  </si>
  <si>
    <t>AAPL</t>
  </si>
  <si>
    <t>AMZN</t>
  </si>
  <si>
    <t>GOOGL</t>
  </si>
  <si>
    <t>AVGO</t>
  </si>
  <si>
    <t>TSM</t>
  </si>
  <si>
    <t>TSLA</t>
  </si>
  <si>
    <t>PANW</t>
  </si>
  <si>
    <t>XAUUSD</t>
  </si>
  <si>
    <t>FX</t>
  </si>
  <si>
    <t>Aggressive - $</t>
  </si>
  <si>
    <t>Expiration</t>
  </si>
  <si>
    <t>PLTR</t>
  </si>
  <si>
    <t>COIN</t>
  </si>
  <si>
    <t>RDDT</t>
  </si>
  <si>
    <t>MSTR</t>
  </si>
  <si>
    <t>ES Futures</t>
  </si>
  <si>
    <t>Futures</t>
  </si>
  <si>
    <t>15 December 2028</t>
  </si>
  <si>
    <t>NQ Futures</t>
  </si>
  <si>
    <t>December 2028</t>
  </si>
  <si>
    <t>NVDA 200 Call</t>
  </si>
  <si>
    <t>Options</t>
  </si>
  <si>
    <t>MSTR 120 Call</t>
  </si>
  <si>
    <t>TSLA 370 Put</t>
  </si>
  <si>
    <t>AGG</t>
  </si>
  <si>
    <t>Treasury ETF</t>
  </si>
  <si>
    <t>MSCI World</t>
  </si>
  <si>
    <t>FX Spot</t>
  </si>
  <si>
    <t>XAGUSD</t>
  </si>
  <si>
    <t>AMZN 200 Call</t>
  </si>
  <si>
    <t>RDDT 180 Call</t>
  </si>
  <si>
    <t>15 September 2028</t>
  </si>
  <si>
    <t>AVGO 420 Call</t>
  </si>
  <si>
    <t>PANW 250 Put</t>
  </si>
  <si>
    <t>PANW 300 Call</t>
  </si>
  <si>
    <t>TSM 430 Call</t>
  </si>
  <si>
    <t xml:space="preserve">META 600 Call </t>
  </si>
  <si>
    <t>RDDT 175 Call</t>
  </si>
  <si>
    <t>Bonds</t>
  </si>
  <si>
    <t>RDDT 150 Put</t>
  </si>
  <si>
    <t>GOOGL 370 Call</t>
  </si>
  <si>
    <t>AMZN 210 Call</t>
  </si>
  <si>
    <t>AVGO 400 Call</t>
  </si>
  <si>
    <t>PLTR 120 Call</t>
  </si>
  <si>
    <t>TSM. 470 Call</t>
  </si>
  <si>
    <t>AMZN 260 Call</t>
  </si>
  <si>
    <t>MSFT 400 Put</t>
  </si>
  <si>
    <t>PLTR 115 Put</t>
  </si>
  <si>
    <t>GOOGL 350 Call</t>
  </si>
  <si>
    <t>META 590 Put</t>
  </si>
  <si>
    <t>MSFT 420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</si>
</sst>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&quot;$&quot;#,##0.00"/>
  </numFmts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4.0"/>
      <color theme="1"/>
      <name val="Calibri"/>
    </font>
    <font/>
    <font>
      <b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left" readingOrder="0" shrinkToFit="0" wrapText="1"/>
    </xf>
    <xf borderId="1" fillId="0" fontId="2" numFmtId="164" xfId="0" applyAlignment="1" applyBorder="1" applyFont="1" applyNumberForma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0" xfId="0" applyAlignment="1" applyBorder="1" applyFont="1" applyNumberFormat="1">
      <alignment horizontal="left" shrinkToFit="0" vertical="top" wrapText="1"/>
    </xf>
    <xf borderId="2" fillId="0" fontId="6" numFmtId="165" xfId="0" applyAlignment="1" applyBorder="1" applyFont="1" applyNumberFormat="1">
      <alignment horizontal="center" shrinkToFit="0" vertical="center" wrapText="1"/>
    </xf>
    <xf borderId="3" fillId="0" fontId="7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4" fillId="0" fontId="7" numFmtId="0" xfId="0" applyBorder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left" shrinkToFit="0" vertical="top" wrapText="1"/>
    </xf>
    <xf borderId="0" fillId="4" fontId="1" numFmtId="0" xfId="0" applyAlignment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shrinkToFit="0" wrapText="1"/>
    </xf>
    <xf borderId="2" fillId="0" fontId="9" numFmtId="165" xfId="0" applyAlignment="1" applyBorder="1" applyFont="1" applyNumberFormat="1">
      <alignment horizontal="center" textRotation="0" vertical="center"/>
    </xf>
    <xf borderId="5" fillId="0" fontId="2" numFmtId="49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10" xfId="0" applyAlignment="1" applyBorder="1" applyFont="1" applyNumberFormat="1">
      <alignment horizontal="left"/>
    </xf>
    <xf borderId="0" fillId="0" fontId="2" numFmtId="10" xfId="0" applyAlignment="1" applyFont="1" applyNumberFormat="1">
      <alignment horizontal="left"/>
    </xf>
    <xf borderId="5" fillId="0" fontId="2" numFmtId="49" xfId="0" applyAlignment="1" applyBorder="1" applyFont="1" applyNumberFormat="1">
      <alignment shrinkToFit="0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6" fillId="2" fontId="3" numFmtId="0" xfId="0" applyAlignment="1" applyBorder="1" applyFont="1">
      <alignment horizontal="center" readingOrder="0"/>
    </xf>
    <xf borderId="6" fillId="0" fontId="7" numFmtId="0" xfId="0" applyBorder="1" applyFont="1"/>
    <xf borderId="7" fillId="0" fontId="7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10" xfId="0" applyAlignment="1" applyBorder="1" applyFont="1" applyNumberFormat="1">
      <alignment horizontal="left" shrinkToFit="0" vertical="top" wrapText="1"/>
    </xf>
    <xf borderId="2" fillId="0" fontId="6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readingOrder="0"/>
    </xf>
    <xf borderId="6" fillId="3" fontId="3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left" readingOrder="0" shrinkToFit="0" vertical="top" wrapText="1"/>
    </xf>
    <xf borderId="0" fillId="4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9" numFmtId="165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horizontal="left" readingOrder="0"/>
    </xf>
    <xf borderId="0" fillId="0" fontId="10" numFmtId="0" xfId="0" applyAlignment="1" applyFont="1">
      <alignment horizontal="left"/>
    </xf>
    <xf borderId="0" fillId="2" fontId="3" numFmtId="0" xfId="0" applyAlignment="1" applyFont="1">
      <alignment horizontal="center" readingOrder="0"/>
    </xf>
    <xf borderId="5" fillId="4" fontId="3" numFmtId="0" xfId="0" applyAlignment="1" applyBorder="1" applyFont="1">
      <alignment horizontal="center" readingOrder="0"/>
    </xf>
    <xf borderId="8" fillId="0" fontId="7" numFmtId="0" xfId="0" applyBorder="1" applyFont="1"/>
    <xf borderId="9" fillId="0" fontId="7" numFmtId="0" xfId="0" applyBorder="1" applyFont="1"/>
    <xf borderId="2" fillId="0" fontId="3" numFmtId="0" xfId="0" applyAlignment="1" applyBorder="1" applyFont="1">
      <alignment horizontal="center" readingOrder="0" shrinkToFit="0" wrapText="1"/>
    </xf>
    <xf borderId="9" fillId="0" fontId="2" numFmtId="10" xfId="0" applyAlignment="1" applyBorder="1" applyFont="1" applyNumberFormat="1">
      <alignment horizontal="left" shrinkToFit="0" vertical="top" wrapText="1"/>
    </xf>
    <xf borderId="5" fillId="0" fontId="2" numFmtId="164" xfId="0" applyAlignment="1" applyBorder="1" applyFont="1" applyNumberFormat="1">
      <alignment horizontal="left" readingOrder="0" shrinkToFit="0" vertical="top" wrapText="1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5" fillId="0" fontId="3" numFmtId="0" xfId="0" applyAlignment="1" applyBorder="1" applyFont="1">
      <alignment horizontal="center" readingOrder="0" shrinkToFit="0" wrapText="1"/>
    </xf>
    <xf borderId="5" fillId="0" fontId="5" numFmtId="3" xfId="0" applyAlignment="1" applyBorder="1" applyFont="1" applyNumberFormat="1">
      <alignment horizontal="left" readingOrder="0" shrinkToFit="0" wrapText="1"/>
    </xf>
    <xf borderId="5" fillId="0" fontId="2" numFmtId="0" xfId="0" applyAlignment="1" applyBorder="1" applyFont="1">
      <alignment horizontal="left"/>
    </xf>
    <xf borderId="5" fillId="2" fontId="3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6" max="6" width="18.13"/>
    <col customWidth="1" min="7" max="7" width="18.25"/>
    <col customWidth="1" min="8" max="8" width="17.25"/>
  </cols>
  <sheetData>
    <row r="1">
      <c r="A1" s="1" t="s">
        <v>0</v>
      </c>
      <c r="G1" s="2"/>
    </row>
    <row r="2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9</v>
      </c>
      <c r="B4" s="7" t="s">
        <v>10</v>
      </c>
      <c r="C4" s="7">
        <v>1078.0</v>
      </c>
      <c r="D4" s="8">
        <v>85.06</v>
      </c>
      <c r="E4" s="9">
        <f t="shared" ref="E4:E7" si="1">C4*D4</f>
        <v>91694.68</v>
      </c>
      <c r="F4" s="10">
        <f>E4/SUM(E4:E8)</f>
        <v>0.1528881012</v>
      </c>
      <c r="G4" s="11">
        <f>SUM(E4:E8)</f>
        <v>599750.27</v>
      </c>
    </row>
    <row r="5">
      <c r="A5" s="7" t="s">
        <v>11</v>
      </c>
      <c r="B5" s="7" t="s">
        <v>12</v>
      </c>
      <c r="C5" s="7">
        <v>1260.0</v>
      </c>
      <c r="D5" s="8">
        <v>108.17</v>
      </c>
      <c r="E5" s="9">
        <f t="shared" si="1"/>
        <v>136294.2</v>
      </c>
      <c r="F5" s="10">
        <f>E5/SUM(E4:E8)</f>
        <v>0.2272515859</v>
      </c>
      <c r="G5" s="12"/>
    </row>
    <row r="6">
      <c r="A6" s="7" t="s">
        <v>13</v>
      </c>
      <c r="B6" s="7" t="s">
        <v>14</v>
      </c>
      <c r="C6" s="7">
        <v>167.0</v>
      </c>
      <c r="D6" s="8">
        <v>737.55</v>
      </c>
      <c r="E6" s="9">
        <f t="shared" si="1"/>
        <v>123170.85</v>
      </c>
      <c r="F6" s="10">
        <f>E6/SUM(E4:E8)</f>
        <v>0.2053702285</v>
      </c>
      <c r="G6" s="12"/>
    </row>
    <row r="7">
      <c r="A7" s="7" t="s">
        <v>15</v>
      </c>
      <c r="B7" s="7" t="s">
        <v>14</v>
      </c>
      <c r="C7" s="7">
        <v>109.0</v>
      </c>
      <c r="D7" s="8">
        <v>705.06</v>
      </c>
      <c r="E7" s="9">
        <f t="shared" si="1"/>
        <v>76851.54</v>
      </c>
      <c r="F7" s="10">
        <f>E7/SUM(E4:E8)</f>
        <v>0.1281392337</v>
      </c>
      <c r="G7" s="12"/>
    </row>
    <row r="8">
      <c r="A8" s="7" t="s">
        <v>16</v>
      </c>
      <c r="B8" s="7" t="s">
        <v>17</v>
      </c>
      <c r="C8" s="7">
        <v>171739.0</v>
      </c>
      <c r="D8" s="8" t="s">
        <v>18</v>
      </c>
      <c r="E8" s="13">
        <f>C8</f>
        <v>171739</v>
      </c>
      <c r="F8" s="10">
        <f>E8/SUM(E4:E8)</f>
        <v>0.2863508507</v>
      </c>
      <c r="G8" s="14"/>
    </row>
    <row r="9">
      <c r="A9" s="15"/>
      <c r="B9" s="15"/>
      <c r="C9" s="15"/>
      <c r="D9" s="16"/>
      <c r="E9" s="17"/>
      <c r="F9" s="15"/>
      <c r="G9" s="2"/>
    </row>
    <row r="10">
      <c r="A10" s="18" t="s">
        <v>19</v>
      </c>
    </row>
    <row r="11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5" t="s">
        <v>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20</v>
      </c>
      <c r="B12" s="7" t="s">
        <v>21</v>
      </c>
      <c r="C12" s="7">
        <v>112.0</v>
      </c>
      <c r="D12" s="13">
        <v>205.1</v>
      </c>
      <c r="E12" s="19">
        <f t="shared" ref="E12:E23" si="2">C12*D12</f>
        <v>22971.2</v>
      </c>
      <c r="F12" s="10">
        <f>E12/SUM(E12:E24)</f>
        <v>0.04017782262</v>
      </c>
      <c r="G12" s="11">
        <f>SUM(E12:E24)</f>
        <v>571738.3</v>
      </c>
    </row>
    <row r="13">
      <c r="A13" s="7" t="s">
        <v>22</v>
      </c>
      <c r="B13" s="7" t="s">
        <v>21</v>
      </c>
      <c r="C13" s="7">
        <v>75.0</v>
      </c>
      <c r="D13" s="13">
        <v>416.67</v>
      </c>
      <c r="E13" s="19">
        <f t="shared" si="2"/>
        <v>31250.25</v>
      </c>
      <c r="F13" s="10">
        <f>E13/SUM(E12:E24)</f>
        <v>0.05465831133</v>
      </c>
      <c r="G13" s="12"/>
    </row>
    <row r="14">
      <c r="A14" s="7" t="s">
        <v>23</v>
      </c>
      <c r="B14" s="7" t="s">
        <v>21</v>
      </c>
      <c r="C14" s="7">
        <v>170.0</v>
      </c>
      <c r="D14" s="13">
        <v>307.34</v>
      </c>
      <c r="E14" s="19">
        <f t="shared" si="2"/>
        <v>52247.8</v>
      </c>
      <c r="F14" s="10">
        <f>E14/SUM(E12:E24)</f>
        <v>0.09138411752</v>
      </c>
      <c r="G14" s="12"/>
    </row>
    <row r="15">
      <c r="A15" s="7" t="s">
        <v>24</v>
      </c>
      <c r="B15" s="7" t="s">
        <v>21</v>
      </c>
      <c r="C15" s="7">
        <v>77.0</v>
      </c>
      <c r="D15" s="13">
        <v>246.03</v>
      </c>
      <c r="E15" s="19">
        <f t="shared" si="2"/>
        <v>18944.31</v>
      </c>
      <c r="F15" s="10">
        <f>E15/SUM(E12:E24)</f>
        <v>0.03313458273</v>
      </c>
      <c r="G15" s="12"/>
    </row>
    <row r="16">
      <c r="A16" s="7" t="s">
        <v>25</v>
      </c>
      <c r="B16" s="7" t="s">
        <v>21</v>
      </c>
      <c r="C16" s="7">
        <v>123.0</v>
      </c>
      <c r="D16" s="13">
        <v>368.53</v>
      </c>
      <c r="E16" s="19">
        <f t="shared" si="2"/>
        <v>45329.19</v>
      </c>
      <c r="F16" s="10">
        <f>E16/SUM(E12:E24)</f>
        <v>0.07928310907</v>
      </c>
      <c r="G16" s="12"/>
    </row>
    <row r="17">
      <c r="A17" s="7" t="s">
        <v>26</v>
      </c>
      <c r="B17" s="7" t="s">
        <v>21</v>
      </c>
      <c r="C17" s="7">
        <v>136.0</v>
      </c>
      <c r="D17" s="13">
        <v>385.73</v>
      </c>
      <c r="E17" s="19">
        <f t="shared" si="2"/>
        <v>52459.28</v>
      </c>
      <c r="F17" s="10">
        <f>E17/SUM(E12:E24)</f>
        <v>0.09175400703</v>
      </c>
      <c r="G17" s="12"/>
    </row>
    <row r="18">
      <c r="A18" s="7" t="s">
        <v>27</v>
      </c>
      <c r="B18" s="7" t="s">
        <v>21</v>
      </c>
      <c r="C18" s="7">
        <v>90.0</v>
      </c>
      <c r="D18" s="13">
        <v>415.17</v>
      </c>
      <c r="E18" s="19">
        <f t="shared" si="2"/>
        <v>37365.3</v>
      </c>
      <c r="F18" s="10">
        <f>E18/SUM(E12:E24)</f>
        <v>0.06535385158</v>
      </c>
      <c r="G18" s="12"/>
    </row>
    <row r="19">
      <c r="A19" s="7" t="s">
        <v>28</v>
      </c>
      <c r="B19" s="7" t="s">
        <v>21</v>
      </c>
      <c r="C19" s="7">
        <v>70.0</v>
      </c>
      <c r="D19" s="13">
        <v>391.0</v>
      </c>
      <c r="E19" s="19">
        <f t="shared" si="2"/>
        <v>27370</v>
      </c>
      <c r="F19" s="10">
        <f>E19/SUM(E12:E24)</f>
        <v>0.04787155242</v>
      </c>
      <c r="G19" s="12"/>
    </row>
    <row r="20">
      <c r="A20" s="7" t="s">
        <v>13</v>
      </c>
      <c r="B20" s="7" t="s">
        <v>14</v>
      </c>
      <c r="C20" s="7">
        <v>69.0</v>
      </c>
      <c r="D20" s="13">
        <v>737.55</v>
      </c>
      <c r="E20" s="19">
        <f t="shared" si="2"/>
        <v>50890.95</v>
      </c>
      <c r="F20" s="10">
        <f>E20/SUM(E12:E24)</f>
        <v>0.08901091636</v>
      </c>
      <c r="G20" s="12"/>
    </row>
    <row r="21">
      <c r="A21" s="7" t="s">
        <v>15</v>
      </c>
      <c r="B21" s="7" t="s">
        <v>14</v>
      </c>
      <c r="C21" s="7">
        <v>65.0</v>
      </c>
      <c r="D21" s="13">
        <v>705.06</v>
      </c>
      <c r="E21" s="19">
        <f t="shared" si="2"/>
        <v>45828.9</v>
      </c>
      <c r="F21" s="10">
        <f>E21/SUM(E12:E24)</f>
        <v>0.08015712783</v>
      </c>
      <c r="G21" s="12"/>
    </row>
    <row r="22">
      <c r="A22" s="7" t="s">
        <v>29</v>
      </c>
      <c r="B22" s="7" t="s">
        <v>21</v>
      </c>
      <c r="C22" s="7">
        <v>56.0</v>
      </c>
      <c r="D22" s="13">
        <v>272.05</v>
      </c>
      <c r="E22" s="19">
        <f t="shared" si="2"/>
        <v>15234.8</v>
      </c>
      <c r="F22" s="10">
        <f>E22/SUM(E12:E24)</f>
        <v>0.02664645695</v>
      </c>
      <c r="G22" s="12"/>
    </row>
    <row r="23">
      <c r="A23" s="7" t="s">
        <v>30</v>
      </c>
      <c r="B23" s="7" t="s">
        <v>31</v>
      </c>
      <c r="C23" s="7">
        <v>14.0</v>
      </c>
      <c r="D23" s="13">
        <v>4327.88</v>
      </c>
      <c r="E23" s="19">
        <f t="shared" si="2"/>
        <v>60590.32</v>
      </c>
      <c r="F23" s="10">
        <f>E23/SUM(E12:E24)</f>
        <v>0.1059756186</v>
      </c>
      <c r="G23" s="12"/>
    </row>
    <row r="24">
      <c r="A24" s="7" t="s">
        <v>16</v>
      </c>
      <c r="B24" s="7" t="s">
        <v>17</v>
      </c>
      <c r="C24" s="7">
        <v>111256.0</v>
      </c>
      <c r="D24" s="13" t="s">
        <v>18</v>
      </c>
      <c r="E24" s="13">
        <f>C24</f>
        <v>111256</v>
      </c>
      <c r="F24" s="10">
        <f>E24/SUM(E12:E24)</f>
        <v>0.194592526</v>
      </c>
      <c r="G24" s="14"/>
    </row>
    <row r="25">
      <c r="A25" s="15"/>
      <c r="B25" s="15"/>
      <c r="C25" s="15"/>
      <c r="D25" s="16"/>
      <c r="E25" s="17"/>
      <c r="F25" s="15"/>
      <c r="G25" s="2"/>
    </row>
    <row r="26">
      <c r="A26" s="20" t="s">
        <v>32</v>
      </c>
    </row>
    <row r="27">
      <c r="A27" s="4" t="s">
        <v>2</v>
      </c>
      <c r="B27" s="4" t="s">
        <v>3</v>
      </c>
      <c r="C27" s="4" t="s">
        <v>4</v>
      </c>
      <c r="D27" s="4" t="s">
        <v>5</v>
      </c>
      <c r="E27" s="4" t="s">
        <v>6</v>
      </c>
      <c r="F27" s="21" t="s">
        <v>7</v>
      </c>
      <c r="G27" s="22" t="s">
        <v>33</v>
      </c>
      <c r="H27" s="23" t="s">
        <v>8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20</v>
      </c>
      <c r="B28" s="7" t="s">
        <v>21</v>
      </c>
      <c r="C28" s="24">
        <v>80.0</v>
      </c>
      <c r="D28" s="13">
        <v>205.1</v>
      </c>
      <c r="E28" s="19">
        <f t="shared" ref="E28:E40" si="3">D28*C28</f>
        <v>16408</v>
      </c>
      <c r="F28" s="10">
        <f>E28/SUM(E28:E44)</f>
        <v>0.02479326155</v>
      </c>
      <c r="G28" s="25"/>
      <c r="H28" s="26">
        <f>SUM(E28:E44)</f>
        <v>661792.72</v>
      </c>
    </row>
    <row r="29">
      <c r="A29" s="7" t="s">
        <v>28</v>
      </c>
      <c r="B29" s="7" t="s">
        <v>21</v>
      </c>
      <c r="C29" s="24">
        <v>130.0</v>
      </c>
      <c r="D29" s="13">
        <v>391.0</v>
      </c>
      <c r="E29" s="19">
        <f t="shared" si="3"/>
        <v>50830</v>
      </c>
      <c r="F29" s="10">
        <f>E29/SUM(E28:E44)</f>
        <v>0.07680652637</v>
      </c>
      <c r="G29" s="25"/>
      <c r="H29" s="12"/>
    </row>
    <row r="30">
      <c r="A30" s="7" t="s">
        <v>34</v>
      </c>
      <c r="B30" s="7" t="s">
        <v>21</v>
      </c>
      <c r="C30" s="24">
        <v>123.0</v>
      </c>
      <c r="D30" s="24">
        <v>135.53</v>
      </c>
      <c r="E30" s="19">
        <f t="shared" si="3"/>
        <v>16670.19</v>
      </c>
      <c r="F30" s="10">
        <f>E30/SUM(E28:E44)</f>
        <v>0.025189443</v>
      </c>
      <c r="G30" s="25"/>
      <c r="H30" s="12"/>
    </row>
    <row r="31">
      <c r="A31" s="7" t="s">
        <v>35</v>
      </c>
      <c r="B31" s="7" t="s">
        <v>21</v>
      </c>
      <c r="C31" s="24">
        <v>167.0</v>
      </c>
      <c r="D31" s="24">
        <v>152.4</v>
      </c>
      <c r="E31" s="19">
        <f t="shared" si="3"/>
        <v>25450.8</v>
      </c>
      <c r="F31" s="10">
        <f>E31/SUM(E28:E44)</f>
        <v>0.03845735867</v>
      </c>
      <c r="G31" s="25"/>
      <c r="H31" s="12"/>
    </row>
    <row r="32">
      <c r="A32" s="7" t="s">
        <v>36</v>
      </c>
      <c r="B32" s="7" t="s">
        <v>21</v>
      </c>
      <c r="C32" s="24">
        <v>137.0</v>
      </c>
      <c r="D32" s="24">
        <v>173.45</v>
      </c>
      <c r="E32" s="19">
        <f t="shared" si="3"/>
        <v>23762.65</v>
      </c>
      <c r="F32" s="10">
        <f>E32/SUM(E28:E44)</f>
        <v>0.03590648444</v>
      </c>
      <c r="G32" s="25"/>
      <c r="H32" s="12"/>
    </row>
    <row r="33">
      <c r="A33" s="7" t="s">
        <v>37</v>
      </c>
      <c r="B33" s="7" t="s">
        <v>21</v>
      </c>
      <c r="C33" s="24">
        <v>107.0</v>
      </c>
      <c r="D33" s="24">
        <v>120.44</v>
      </c>
      <c r="E33" s="19">
        <f t="shared" si="3"/>
        <v>12887.08</v>
      </c>
      <c r="F33" s="10">
        <f>E33/SUM(E28:E44)</f>
        <v>0.01947298544</v>
      </c>
      <c r="G33" s="25"/>
      <c r="H33" s="12"/>
    </row>
    <row r="34">
      <c r="A34" s="7" t="s">
        <v>22</v>
      </c>
      <c r="B34" s="7" t="s">
        <v>21</v>
      </c>
      <c r="C34" s="24">
        <v>178.0</v>
      </c>
      <c r="D34" s="24">
        <v>416.67</v>
      </c>
      <c r="E34" s="19">
        <f t="shared" si="3"/>
        <v>74167.26</v>
      </c>
      <c r="F34" s="10">
        <f>E34/SUM(E28:E44)</f>
        <v>0.1120702265</v>
      </c>
      <c r="G34" s="25"/>
      <c r="H34" s="12"/>
    </row>
    <row r="35">
      <c r="A35" s="7" t="s">
        <v>23</v>
      </c>
      <c r="B35" s="7" t="s">
        <v>21</v>
      </c>
      <c r="C35" s="24">
        <v>120.0</v>
      </c>
      <c r="D35" s="24">
        <v>307.34</v>
      </c>
      <c r="E35" s="19">
        <f t="shared" si="3"/>
        <v>36880.8</v>
      </c>
      <c r="F35" s="10">
        <f>E35/SUM(E28:E44)</f>
        <v>0.05572862754</v>
      </c>
      <c r="G35" s="25"/>
      <c r="H35" s="12"/>
    </row>
    <row r="36">
      <c r="A36" s="7" t="s">
        <v>25</v>
      </c>
      <c r="B36" s="7" t="s">
        <v>21</v>
      </c>
      <c r="C36" s="24">
        <v>38.0</v>
      </c>
      <c r="D36" s="24">
        <v>368.53</v>
      </c>
      <c r="E36" s="19">
        <f t="shared" si="3"/>
        <v>14004.14</v>
      </c>
      <c r="F36" s="10">
        <f>E36/SUM(E28:E44)</f>
        <v>0.02116091576</v>
      </c>
      <c r="G36" s="25"/>
      <c r="H36" s="12"/>
    </row>
    <row r="37">
      <c r="A37" s="7" t="s">
        <v>13</v>
      </c>
      <c r="B37" s="7" t="s">
        <v>14</v>
      </c>
      <c r="C37" s="24">
        <v>127.0</v>
      </c>
      <c r="D37" s="24">
        <v>737.55</v>
      </c>
      <c r="E37" s="19">
        <f t="shared" si="3"/>
        <v>93668.85</v>
      </c>
      <c r="F37" s="10">
        <f>E37/SUM(E28:E44)</f>
        <v>0.1415380483</v>
      </c>
      <c r="G37" s="25"/>
      <c r="H37" s="12"/>
    </row>
    <row r="38">
      <c r="A38" s="7" t="s">
        <v>15</v>
      </c>
      <c r="B38" s="7" t="s">
        <v>14</v>
      </c>
      <c r="C38" s="24">
        <v>120.0</v>
      </c>
      <c r="D38" s="24">
        <v>705.06</v>
      </c>
      <c r="E38" s="19">
        <f t="shared" si="3"/>
        <v>84607.2</v>
      </c>
      <c r="F38" s="10">
        <f>E38/SUM(E28:E44)</f>
        <v>0.127845468</v>
      </c>
      <c r="G38" s="25"/>
      <c r="H38" s="12"/>
    </row>
    <row r="39">
      <c r="A39" s="7" t="s">
        <v>38</v>
      </c>
      <c r="B39" s="7" t="s">
        <v>39</v>
      </c>
      <c r="C39" s="24">
        <v>2.0</v>
      </c>
      <c r="D39" s="24">
        <v>8116.75</v>
      </c>
      <c r="E39" s="19">
        <f t="shared" si="3"/>
        <v>16233.5</v>
      </c>
      <c r="F39" s="10">
        <f>E39/SUM(E28:E44)</f>
        <v>0.02452958382</v>
      </c>
      <c r="G39" s="27" t="s">
        <v>40</v>
      </c>
      <c r="H39" s="12"/>
    </row>
    <row r="40">
      <c r="A40" s="7" t="s">
        <v>41</v>
      </c>
      <c r="B40" s="7" t="s">
        <v>39</v>
      </c>
      <c r="C40" s="24">
        <v>1.0</v>
      </c>
      <c r="D40" s="24">
        <v>31579.25</v>
      </c>
      <c r="E40" s="19">
        <f t="shared" si="3"/>
        <v>31579.25</v>
      </c>
      <c r="F40" s="10">
        <f>E40/SUM(E28:E44)</f>
        <v>0.04771773555</v>
      </c>
      <c r="G40" s="27" t="s">
        <v>42</v>
      </c>
      <c r="H40" s="12"/>
    </row>
    <row r="41">
      <c r="A41" s="7" t="s">
        <v>43</v>
      </c>
      <c r="B41" s="7" t="s">
        <v>44</v>
      </c>
      <c r="C41" s="24">
        <v>5.0</v>
      </c>
      <c r="D41" s="24">
        <v>69.17</v>
      </c>
      <c r="E41" s="19">
        <f t="shared" ref="E41:E43" si="4">(D41*C41)*100</f>
        <v>34585</v>
      </c>
      <c r="F41" s="10">
        <f>E41/SUM(E28:E44)</f>
        <v>0.0522595655</v>
      </c>
      <c r="G41" s="27" t="s">
        <v>40</v>
      </c>
      <c r="H41" s="12"/>
    </row>
    <row r="42">
      <c r="A42" s="28" t="s">
        <v>45</v>
      </c>
      <c r="B42" s="7" t="s">
        <v>44</v>
      </c>
      <c r="C42" s="24">
        <v>3.0</v>
      </c>
      <c r="D42" s="24">
        <v>66.77</v>
      </c>
      <c r="E42" s="29">
        <f t="shared" si="4"/>
        <v>20031</v>
      </c>
      <c r="F42" s="30">
        <f>E42/SUM(E28:E44)</f>
        <v>0.03026778536</v>
      </c>
      <c r="G42" s="27" t="s">
        <v>40</v>
      </c>
      <c r="H42" s="12"/>
    </row>
    <row r="43">
      <c r="A43" s="28" t="s">
        <v>46</v>
      </c>
      <c r="B43" s="7" t="s">
        <v>44</v>
      </c>
      <c r="C43" s="24">
        <v>4.0</v>
      </c>
      <c r="D43" s="24">
        <v>93.7</v>
      </c>
      <c r="E43" s="29">
        <f t="shared" si="4"/>
        <v>37480</v>
      </c>
      <c r="F43" s="31">
        <f>E43/SUM(E28:E44)</f>
        <v>0.05663404699</v>
      </c>
      <c r="G43" s="27" t="s">
        <v>40</v>
      </c>
      <c r="H43" s="12"/>
    </row>
    <row r="44">
      <c r="A44" s="28" t="s">
        <v>16</v>
      </c>
      <c r="B44" s="7" t="s">
        <v>17</v>
      </c>
      <c r="C44" s="24">
        <v>72547.0</v>
      </c>
      <c r="D44" s="24" t="s">
        <v>18</v>
      </c>
      <c r="E44" s="29">
        <f>C44</f>
        <v>72547</v>
      </c>
      <c r="F44" s="30">
        <f>E44/SUM(E28:E44)</f>
        <v>0.1096219372</v>
      </c>
      <c r="G44" s="32"/>
      <c r="H44" s="14"/>
    </row>
    <row r="45">
      <c r="D45" s="33"/>
      <c r="E45" s="34"/>
      <c r="G45" s="35"/>
    </row>
    <row r="46">
      <c r="D46" s="33"/>
      <c r="E46" s="34"/>
      <c r="G46" s="35"/>
    </row>
    <row r="47">
      <c r="D47" s="33"/>
      <c r="E47" s="34"/>
      <c r="G47" s="35"/>
    </row>
    <row r="48">
      <c r="D48" s="33"/>
      <c r="E48" s="34"/>
      <c r="G48" s="35"/>
    </row>
    <row r="49">
      <c r="D49" s="33"/>
      <c r="E49" s="34"/>
      <c r="G49" s="35"/>
    </row>
    <row r="50">
      <c r="D50" s="33"/>
      <c r="E50" s="34"/>
      <c r="G50" s="35"/>
    </row>
    <row r="51">
      <c r="D51" s="33"/>
      <c r="E51" s="34"/>
      <c r="G51" s="35"/>
    </row>
    <row r="52">
      <c r="D52" s="33"/>
      <c r="E52" s="34"/>
      <c r="G52" s="35"/>
    </row>
    <row r="53">
      <c r="D53" s="33"/>
      <c r="E53" s="34"/>
      <c r="G53" s="35"/>
    </row>
    <row r="54">
      <c r="D54" s="33"/>
      <c r="E54" s="34"/>
      <c r="G54" s="35"/>
    </row>
    <row r="55">
      <c r="D55" s="33"/>
      <c r="E55" s="34"/>
      <c r="G55" s="35"/>
    </row>
    <row r="56">
      <c r="D56" s="33"/>
      <c r="E56" s="34"/>
      <c r="G56" s="35"/>
    </row>
    <row r="57">
      <c r="D57" s="33"/>
      <c r="E57" s="34"/>
      <c r="G57" s="35"/>
    </row>
    <row r="58">
      <c r="D58" s="33"/>
      <c r="E58" s="34"/>
      <c r="G58" s="35"/>
    </row>
    <row r="59">
      <c r="D59" s="33"/>
      <c r="E59" s="34"/>
      <c r="G59" s="35"/>
    </row>
    <row r="60">
      <c r="D60" s="33"/>
      <c r="E60" s="34"/>
      <c r="G60" s="35"/>
    </row>
    <row r="61">
      <c r="D61" s="33"/>
      <c r="E61" s="34"/>
      <c r="G61" s="35"/>
    </row>
    <row r="62">
      <c r="D62" s="33"/>
      <c r="E62" s="34"/>
      <c r="G62" s="35"/>
    </row>
    <row r="63">
      <c r="D63" s="33"/>
      <c r="E63" s="34"/>
      <c r="G63" s="35"/>
    </row>
    <row r="64">
      <c r="D64" s="33"/>
      <c r="E64" s="34"/>
      <c r="G64" s="35"/>
    </row>
    <row r="65">
      <c r="D65" s="33"/>
      <c r="E65" s="34"/>
      <c r="G65" s="35"/>
    </row>
    <row r="66">
      <c r="D66" s="33"/>
      <c r="E66" s="34"/>
      <c r="G66" s="35"/>
    </row>
    <row r="67">
      <c r="D67" s="33"/>
      <c r="E67" s="34"/>
      <c r="G67" s="35"/>
    </row>
    <row r="68">
      <c r="D68" s="33"/>
      <c r="E68" s="34"/>
      <c r="G68" s="35"/>
    </row>
    <row r="69">
      <c r="D69" s="33"/>
      <c r="E69" s="34"/>
      <c r="G69" s="35"/>
    </row>
    <row r="70">
      <c r="D70" s="33"/>
      <c r="E70" s="34"/>
      <c r="G70" s="35"/>
    </row>
    <row r="71">
      <c r="D71" s="33"/>
      <c r="E71" s="34"/>
      <c r="G71" s="35"/>
    </row>
    <row r="72">
      <c r="D72" s="33"/>
      <c r="E72" s="34"/>
      <c r="G72" s="35"/>
    </row>
    <row r="73">
      <c r="D73" s="33"/>
      <c r="E73" s="34"/>
      <c r="G73" s="35"/>
    </row>
    <row r="74">
      <c r="D74" s="33"/>
      <c r="E74" s="34"/>
      <c r="G74" s="35"/>
    </row>
    <row r="75">
      <c r="D75" s="33"/>
      <c r="E75" s="34"/>
      <c r="G75" s="35"/>
    </row>
    <row r="76">
      <c r="D76" s="33"/>
      <c r="E76" s="34"/>
      <c r="G76" s="35"/>
    </row>
    <row r="77">
      <c r="D77" s="33"/>
      <c r="E77" s="34"/>
      <c r="G77" s="35"/>
    </row>
    <row r="78">
      <c r="D78" s="33"/>
      <c r="E78" s="34"/>
      <c r="G78" s="35"/>
    </row>
    <row r="79">
      <c r="D79" s="33"/>
      <c r="E79" s="34"/>
      <c r="G79" s="35"/>
    </row>
    <row r="80">
      <c r="D80" s="33"/>
      <c r="E80" s="34"/>
      <c r="G80" s="35"/>
    </row>
    <row r="81">
      <c r="D81" s="33"/>
      <c r="E81" s="34"/>
      <c r="G81" s="35"/>
    </row>
    <row r="82">
      <c r="D82" s="33"/>
      <c r="E82" s="34"/>
      <c r="G82" s="35"/>
    </row>
    <row r="83">
      <c r="D83" s="33"/>
      <c r="E83" s="34"/>
      <c r="G83" s="35"/>
    </row>
    <row r="84">
      <c r="D84" s="33"/>
      <c r="E84" s="34"/>
      <c r="G84" s="35"/>
    </row>
    <row r="85">
      <c r="D85" s="33"/>
      <c r="E85" s="34"/>
      <c r="G85" s="35"/>
    </row>
    <row r="86">
      <c r="D86" s="33"/>
      <c r="E86" s="34"/>
      <c r="G86" s="35"/>
    </row>
    <row r="87">
      <c r="D87" s="33"/>
      <c r="E87" s="34"/>
      <c r="G87" s="35"/>
    </row>
    <row r="88">
      <c r="D88" s="33"/>
      <c r="E88" s="34"/>
      <c r="G88" s="35"/>
    </row>
    <row r="89">
      <c r="D89" s="33"/>
      <c r="E89" s="34"/>
      <c r="G89" s="35"/>
    </row>
    <row r="90">
      <c r="D90" s="33"/>
      <c r="E90" s="34"/>
      <c r="G90" s="35"/>
    </row>
    <row r="91">
      <c r="D91" s="33"/>
      <c r="E91" s="34"/>
      <c r="G91" s="35"/>
    </row>
    <row r="92">
      <c r="D92" s="33"/>
      <c r="E92" s="34"/>
      <c r="G92" s="35"/>
    </row>
    <row r="93">
      <c r="D93" s="33"/>
      <c r="E93" s="34"/>
      <c r="G93" s="35"/>
    </row>
    <row r="94">
      <c r="D94" s="33"/>
      <c r="E94" s="34"/>
      <c r="G94" s="35"/>
    </row>
    <row r="95">
      <c r="D95" s="33"/>
      <c r="E95" s="34"/>
      <c r="G95" s="35"/>
    </row>
    <row r="96">
      <c r="D96" s="33"/>
      <c r="E96" s="34"/>
      <c r="G96" s="35"/>
    </row>
    <row r="97">
      <c r="D97" s="33"/>
      <c r="E97" s="34"/>
      <c r="G97" s="35"/>
    </row>
    <row r="98">
      <c r="D98" s="33"/>
      <c r="E98" s="34"/>
      <c r="G98" s="35"/>
    </row>
    <row r="99">
      <c r="D99" s="33"/>
      <c r="E99" s="34"/>
      <c r="G99" s="35"/>
    </row>
    <row r="100">
      <c r="D100" s="33"/>
      <c r="E100" s="34"/>
      <c r="G100" s="35"/>
    </row>
    <row r="101">
      <c r="D101" s="33"/>
      <c r="E101" s="34"/>
      <c r="G101" s="35"/>
    </row>
    <row r="102">
      <c r="D102" s="33"/>
      <c r="E102" s="34"/>
      <c r="G102" s="35"/>
    </row>
    <row r="103">
      <c r="D103" s="33"/>
      <c r="E103" s="34"/>
      <c r="G103" s="35"/>
    </row>
    <row r="104">
      <c r="D104" s="33"/>
      <c r="E104" s="34"/>
      <c r="G104" s="35"/>
    </row>
    <row r="105">
      <c r="D105" s="33"/>
      <c r="E105" s="34"/>
      <c r="G105" s="35"/>
    </row>
    <row r="106">
      <c r="D106" s="33"/>
      <c r="E106" s="34"/>
      <c r="G106" s="35"/>
    </row>
    <row r="107">
      <c r="D107" s="33"/>
      <c r="E107" s="34"/>
      <c r="G107" s="35"/>
    </row>
    <row r="108">
      <c r="D108" s="33"/>
      <c r="E108" s="34"/>
      <c r="G108" s="35"/>
    </row>
    <row r="109">
      <c r="D109" s="33"/>
      <c r="E109" s="34"/>
      <c r="G109" s="35"/>
    </row>
    <row r="110">
      <c r="D110" s="33"/>
      <c r="E110" s="34"/>
      <c r="G110" s="35"/>
    </row>
    <row r="111">
      <c r="D111" s="33"/>
      <c r="E111" s="34"/>
      <c r="G111" s="35"/>
    </row>
    <row r="112">
      <c r="D112" s="33"/>
      <c r="E112" s="34"/>
      <c r="G112" s="35"/>
    </row>
    <row r="113">
      <c r="D113" s="33"/>
      <c r="E113" s="34"/>
      <c r="G113" s="35"/>
    </row>
    <row r="114">
      <c r="D114" s="33"/>
      <c r="E114" s="34"/>
      <c r="G114" s="35"/>
    </row>
    <row r="115">
      <c r="D115" s="33"/>
      <c r="E115" s="34"/>
      <c r="G115" s="35"/>
    </row>
    <row r="116">
      <c r="D116" s="33"/>
      <c r="E116" s="34"/>
      <c r="G116" s="35"/>
    </row>
    <row r="117">
      <c r="D117" s="33"/>
      <c r="E117" s="34"/>
      <c r="G117" s="35"/>
    </row>
    <row r="118">
      <c r="D118" s="33"/>
      <c r="E118" s="34"/>
      <c r="G118" s="35"/>
    </row>
    <row r="119">
      <c r="D119" s="33"/>
      <c r="E119" s="34"/>
      <c r="G119" s="35"/>
    </row>
    <row r="120">
      <c r="D120" s="33"/>
      <c r="E120" s="34"/>
      <c r="G120" s="35"/>
    </row>
    <row r="121">
      <c r="D121" s="33"/>
      <c r="E121" s="34"/>
      <c r="G121" s="35"/>
    </row>
    <row r="122">
      <c r="D122" s="33"/>
      <c r="E122" s="34"/>
      <c r="G122" s="35"/>
    </row>
    <row r="123">
      <c r="D123" s="33"/>
      <c r="E123" s="34"/>
      <c r="G123" s="35"/>
    </row>
    <row r="124">
      <c r="D124" s="33"/>
      <c r="E124" s="34"/>
      <c r="G124" s="35"/>
    </row>
    <row r="125">
      <c r="D125" s="33"/>
      <c r="E125" s="34"/>
      <c r="G125" s="35"/>
    </row>
    <row r="126">
      <c r="D126" s="33"/>
      <c r="E126" s="34"/>
      <c r="G126" s="35"/>
    </row>
    <row r="127">
      <c r="D127" s="33"/>
      <c r="E127" s="34"/>
      <c r="G127" s="35"/>
    </row>
    <row r="128">
      <c r="D128" s="33"/>
      <c r="E128" s="34"/>
      <c r="G128" s="35"/>
    </row>
    <row r="129">
      <c r="D129" s="33"/>
      <c r="E129" s="34"/>
      <c r="G129" s="35"/>
    </row>
    <row r="130">
      <c r="D130" s="33"/>
      <c r="E130" s="34"/>
      <c r="G130" s="35"/>
    </row>
    <row r="131">
      <c r="D131" s="33"/>
      <c r="E131" s="34"/>
      <c r="G131" s="35"/>
    </row>
    <row r="132">
      <c r="D132" s="33"/>
      <c r="E132" s="34"/>
      <c r="G132" s="35"/>
    </row>
    <row r="133">
      <c r="D133" s="33"/>
      <c r="E133" s="34"/>
      <c r="G133" s="35"/>
    </row>
    <row r="134">
      <c r="D134" s="33"/>
      <c r="E134" s="34"/>
      <c r="G134" s="35"/>
    </row>
    <row r="135">
      <c r="D135" s="33"/>
      <c r="E135" s="34"/>
      <c r="G135" s="35"/>
    </row>
    <row r="136">
      <c r="D136" s="33"/>
      <c r="E136" s="34"/>
      <c r="G136" s="35"/>
    </row>
    <row r="137">
      <c r="D137" s="33"/>
      <c r="E137" s="34"/>
      <c r="G137" s="35"/>
    </row>
    <row r="138">
      <c r="D138" s="33"/>
      <c r="E138" s="34"/>
      <c r="G138" s="35"/>
    </row>
    <row r="139">
      <c r="D139" s="33"/>
      <c r="E139" s="34"/>
      <c r="G139" s="35"/>
    </row>
    <row r="140">
      <c r="D140" s="33"/>
      <c r="E140" s="34"/>
      <c r="G140" s="35"/>
    </row>
    <row r="141">
      <c r="D141" s="33"/>
      <c r="E141" s="34"/>
      <c r="G141" s="35"/>
    </row>
    <row r="142">
      <c r="D142" s="33"/>
      <c r="E142" s="34"/>
      <c r="G142" s="35"/>
    </row>
    <row r="143">
      <c r="D143" s="33"/>
      <c r="E143" s="34"/>
      <c r="G143" s="35"/>
    </row>
    <row r="144">
      <c r="D144" s="33"/>
      <c r="E144" s="34"/>
      <c r="G144" s="35"/>
    </row>
    <row r="145">
      <c r="D145" s="33"/>
      <c r="E145" s="34"/>
      <c r="G145" s="35"/>
    </row>
    <row r="146">
      <c r="D146" s="33"/>
      <c r="E146" s="34"/>
      <c r="G146" s="35"/>
    </row>
    <row r="147">
      <c r="D147" s="33"/>
      <c r="E147" s="34"/>
      <c r="G147" s="35"/>
    </row>
    <row r="148">
      <c r="D148" s="33"/>
      <c r="E148" s="34"/>
      <c r="G148" s="35"/>
    </row>
    <row r="149">
      <c r="D149" s="33"/>
      <c r="E149" s="34"/>
      <c r="G149" s="35"/>
    </row>
    <row r="150">
      <c r="D150" s="33"/>
      <c r="E150" s="34"/>
      <c r="G150" s="35"/>
    </row>
    <row r="151">
      <c r="D151" s="33"/>
      <c r="E151" s="34"/>
      <c r="G151" s="35"/>
    </row>
    <row r="152">
      <c r="D152" s="33"/>
      <c r="E152" s="34"/>
      <c r="G152" s="35"/>
    </row>
    <row r="153">
      <c r="D153" s="33"/>
      <c r="E153" s="34"/>
      <c r="G153" s="35"/>
    </row>
    <row r="154">
      <c r="D154" s="33"/>
      <c r="E154" s="34"/>
      <c r="G154" s="35"/>
    </row>
    <row r="155">
      <c r="D155" s="33"/>
      <c r="E155" s="34"/>
      <c r="G155" s="35"/>
    </row>
    <row r="156">
      <c r="D156" s="33"/>
      <c r="E156" s="34"/>
      <c r="G156" s="35"/>
    </row>
    <row r="157">
      <c r="D157" s="33"/>
      <c r="E157" s="34"/>
      <c r="G157" s="35"/>
    </row>
    <row r="158">
      <c r="D158" s="33"/>
      <c r="E158" s="34"/>
      <c r="G158" s="35"/>
    </row>
    <row r="159">
      <c r="D159" s="33"/>
      <c r="E159" s="34"/>
      <c r="G159" s="35"/>
    </row>
    <row r="160">
      <c r="D160" s="33"/>
      <c r="E160" s="34"/>
      <c r="G160" s="35"/>
    </row>
    <row r="161">
      <c r="D161" s="33"/>
      <c r="E161" s="34"/>
      <c r="G161" s="35"/>
    </row>
    <row r="162">
      <c r="D162" s="33"/>
      <c r="E162" s="34"/>
      <c r="G162" s="35"/>
    </row>
    <row r="163">
      <c r="D163" s="33"/>
      <c r="E163" s="34"/>
      <c r="G163" s="35"/>
    </row>
    <row r="164">
      <c r="D164" s="33"/>
      <c r="E164" s="34"/>
      <c r="G164" s="35"/>
    </row>
    <row r="165">
      <c r="D165" s="33"/>
      <c r="E165" s="34"/>
      <c r="G165" s="35"/>
    </row>
    <row r="166">
      <c r="D166" s="33"/>
      <c r="E166" s="34"/>
      <c r="G166" s="35"/>
    </row>
    <row r="167">
      <c r="D167" s="33"/>
      <c r="E167" s="34"/>
      <c r="G167" s="35"/>
    </row>
    <row r="168">
      <c r="D168" s="33"/>
      <c r="E168" s="34"/>
      <c r="G168" s="35"/>
    </row>
    <row r="169">
      <c r="D169" s="33"/>
      <c r="E169" s="34"/>
      <c r="G169" s="35"/>
    </row>
    <row r="170">
      <c r="D170" s="33"/>
      <c r="E170" s="34"/>
      <c r="G170" s="35"/>
    </row>
    <row r="171">
      <c r="D171" s="33"/>
      <c r="E171" s="34"/>
      <c r="G171" s="35"/>
    </row>
    <row r="172">
      <c r="D172" s="33"/>
      <c r="E172" s="34"/>
      <c r="G172" s="35"/>
    </row>
    <row r="173">
      <c r="D173" s="33"/>
      <c r="E173" s="34"/>
      <c r="G173" s="35"/>
    </row>
    <row r="174">
      <c r="D174" s="33"/>
      <c r="E174" s="34"/>
      <c r="G174" s="35"/>
    </row>
    <row r="175">
      <c r="D175" s="33"/>
      <c r="E175" s="34"/>
      <c r="G175" s="35"/>
    </row>
    <row r="176">
      <c r="D176" s="33"/>
      <c r="E176" s="34"/>
      <c r="G176" s="35"/>
    </row>
    <row r="177">
      <c r="D177" s="33"/>
      <c r="E177" s="34"/>
      <c r="G177" s="35"/>
    </row>
    <row r="178">
      <c r="D178" s="33"/>
      <c r="E178" s="34"/>
      <c r="G178" s="35"/>
    </row>
    <row r="179">
      <c r="D179" s="33"/>
      <c r="E179" s="34"/>
      <c r="G179" s="35"/>
    </row>
    <row r="180">
      <c r="D180" s="33"/>
      <c r="E180" s="34"/>
      <c r="G180" s="35"/>
    </row>
    <row r="181">
      <c r="D181" s="33"/>
      <c r="E181" s="34"/>
      <c r="G181" s="35"/>
    </row>
    <row r="182">
      <c r="D182" s="33"/>
      <c r="E182" s="34"/>
      <c r="G182" s="35"/>
    </row>
    <row r="183">
      <c r="D183" s="33"/>
      <c r="E183" s="34"/>
      <c r="G183" s="35"/>
    </row>
    <row r="184">
      <c r="D184" s="33"/>
      <c r="E184" s="34"/>
      <c r="G184" s="35"/>
    </row>
    <row r="185">
      <c r="D185" s="33"/>
      <c r="E185" s="34"/>
      <c r="G185" s="35"/>
    </row>
    <row r="186">
      <c r="D186" s="33"/>
      <c r="E186" s="34"/>
      <c r="G186" s="35"/>
    </row>
    <row r="187">
      <c r="D187" s="33"/>
      <c r="E187" s="34"/>
      <c r="G187" s="35"/>
    </row>
    <row r="188">
      <c r="D188" s="33"/>
      <c r="E188" s="34"/>
      <c r="G188" s="35"/>
    </row>
    <row r="189">
      <c r="D189" s="33"/>
      <c r="E189" s="34"/>
      <c r="G189" s="35"/>
    </row>
    <row r="190">
      <c r="D190" s="33"/>
      <c r="E190" s="34"/>
      <c r="G190" s="35"/>
    </row>
    <row r="191">
      <c r="D191" s="33"/>
      <c r="E191" s="34"/>
      <c r="G191" s="35"/>
    </row>
    <row r="192">
      <c r="D192" s="33"/>
      <c r="E192" s="34"/>
      <c r="G192" s="35"/>
    </row>
    <row r="193">
      <c r="D193" s="33"/>
      <c r="E193" s="34"/>
      <c r="G193" s="35"/>
    </row>
    <row r="194">
      <c r="D194" s="33"/>
      <c r="E194" s="34"/>
      <c r="G194" s="35"/>
    </row>
    <row r="195">
      <c r="D195" s="33"/>
      <c r="E195" s="34"/>
      <c r="G195" s="35"/>
    </row>
    <row r="196">
      <c r="D196" s="33"/>
      <c r="E196" s="34"/>
      <c r="G196" s="35"/>
    </row>
    <row r="197">
      <c r="D197" s="33"/>
      <c r="E197" s="34"/>
      <c r="G197" s="35"/>
    </row>
    <row r="198">
      <c r="D198" s="33"/>
      <c r="E198" s="34"/>
      <c r="G198" s="35"/>
    </row>
    <row r="199">
      <c r="D199" s="33"/>
      <c r="E199" s="34"/>
      <c r="G199" s="35"/>
    </row>
    <row r="200">
      <c r="D200" s="33"/>
      <c r="E200" s="34"/>
      <c r="G200" s="35"/>
    </row>
    <row r="201">
      <c r="D201" s="33"/>
      <c r="E201" s="34"/>
      <c r="G201" s="35"/>
    </row>
    <row r="202">
      <c r="D202" s="33"/>
      <c r="E202" s="34"/>
      <c r="G202" s="35"/>
    </row>
    <row r="203">
      <c r="D203" s="33"/>
      <c r="E203" s="34"/>
      <c r="G203" s="35"/>
    </row>
    <row r="204">
      <c r="D204" s="33"/>
      <c r="E204" s="34"/>
      <c r="G204" s="35"/>
    </row>
    <row r="205">
      <c r="D205" s="33"/>
      <c r="E205" s="34"/>
      <c r="G205" s="35"/>
    </row>
    <row r="206">
      <c r="D206" s="33"/>
      <c r="E206" s="34"/>
      <c r="G206" s="35"/>
    </row>
    <row r="207">
      <c r="D207" s="33"/>
      <c r="E207" s="34"/>
      <c r="G207" s="35"/>
    </row>
    <row r="208">
      <c r="D208" s="33"/>
      <c r="E208" s="34"/>
      <c r="G208" s="35"/>
    </row>
    <row r="209">
      <c r="D209" s="33"/>
      <c r="E209" s="34"/>
      <c r="G209" s="35"/>
    </row>
    <row r="210">
      <c r="D210" s="33"/>
      <c r="E210" s="34"/>
      <c r="G210" s="35"/>
    </row>
    <row r="211">
      <c r="D211" s="33"/>
      <c r="E211" s="34"/>
      <c r="G211" s="35"/>
    </row>
    <row r="212">
      <c r="D212" s="33"/>
      <c r="E212" s="34"/>
      <c r="G212" s="35"/>
    </row>
    <row r="213">
      <c r="D213" s="33"/>
      <c r="E213" s="34"/>
      <c r="G213" s="35"/>
    </row>
    <row r="214">
      <c r="D214" s="33"/>
      <c r="E214" s="34"/>
      <c r="G214" s="35"/>
    </row>
    <row r="215">
      <c r="D215" s="33"/>
      <c r="E215" s="34"/>
      <c r="G215" s="35"/>
    </row>
    <row r="216">
      <c r="D216" s="33"/>
      <c r="E216" s="34"/>
      <c r="G216" s="35"/>
    </row>
    <row r="217">
      <c r="D217" s="33"/>
      <c r="E217" s="34"/>
      <c r="G217" s="35"/>
    </row>
    <row r="218">
      <c r="D218" s="33"/>
      <c r="E218" s="34"/>
      <c r="G218" s="35"/>
    </row>
    <row r="219">
      <c r="D219" s="33"/>
      <c r="E219" s="34"/>
      <c r="G219" s="35"/>
    </row>
    <row r="220">
      <c r="D220" s="33"/>
      <c r="E220" s="34"/>
      <c r="G220" s="35"/>
    </row>
    <row r="221">
      <c r="D221" s="33"/>
      <c r="E221" s="34"/>
      <c r="G221" s="35"/>
    </row>
    <row r="222">
      <c r="D222" s="33"/>
      <c r="E222" s="34"/>
      <c r="G222" s="35"/>
    </row>
    <row r="223">
      <c r="D223" s="33"/>
      <c r="E223" s="34"/>
      <c r="G223" s="35"/>
    </row>
    <row r="224">
      <c r="D224" s="33"/>
      <c r="E224" s="34"/>
      <c r="G224" s="35"/>
    </row>
    <row r="225">
      <c r="D225" s="33"/>
      <c r="E225" s="34"/>
      <c r="G225" s="35"/>
    </row>
    <row r="226">
      <c r="D226" s="33"/>
      <c r="E226" s="34"/>
      <c r="G226" s="35"/>
    </row>
    <row r="227">
      <c r="D227" s="33"/>
      <c r="E227" s="34"/>
      <c r="G227" s="35"/>
    </row>
    <row r="228">
      <c r="D228" s="33"/>
      <c r="E228" s="34"/>
      <c r="G228" s="35"/>
    </row>
    <row r="229">
      <c r="D229" s="33"/>
      <c r="E229" s="34"/>
      <c r="G229" s="35"/>
    </row>
    <row r="230">
      <c r="D230" s="33"/>
      <c r="E230" s="34"/>
      <c r="G230" s="35"/>
    </row>
    <row r="231">
      <c r="D231" s="33"/>
      <c r="E231" s="34"/>
      <c r="G231" s="35"/>
    </row>
    <row r="232">
      <c r="D232" s="33"/>
      <c r="E232" s="34"/>
      <c r="G232" s="35"/>
    </row>
    <row r="233">
      <c r="D233" s="33"/>
      <c r="E233" s="34"/>
      <c r="G233" s="35"/>
    </row>
    <row r="234">
      <c r="D234" s="33"/>
      <c r="E234" s="34"/>
      <c r="G234" s="35"/>
    </row>
    <row r="235">
      <c r="D235" s="33"/>
      <c r="E235" s="34"/>
      <c r="G235" s="35"/>
    </row>
    <row r="236">
      <c r="D236" s="33"/>
      <c r="E236" s="34"/>
      <c r="G236" s="35"/>
    </row>
    <row r="237">
      <c r="D237" s="33"/>
      <c r="E237" s="34"/>
      <c r="G237" s="35"/>
    </row>
    <row r="238">
      <c r="D238" s="33"/>
      <c r="E238" s="34"/>
      <c r="G238" s="35"/>
    </row>
    <row r="239">
      <c r="D239" s="33"/>
      <c r="E239" s="34"/>
      <c r="G239" s="35"/>
    </row>
    <row r="240">
      <c r="D240" s="33"/>
      <c r="E240" s="34"/>
      <c r="G240" s="35"/>
    </row>
    <row r="241">
      <c r="D241" s="33"/>
      <c r="E241" s="34"/>
      <c r="G241" s="35"/>
    </row>
    <row r="242">
      <c r="D242" s="33"/>
      <c r="E242" s="34"/>
      <c r="G242" s="35"/>
    </row>
    <row r="243">
      <c r="D243" s="33"/>
      <c r="E243" s="34"/>
      <c r="G243" s="35"/>
    </row>
    <row r="244">
      <c r="D244" s="33"/>
      <c r="E244" s="34"/>
      <c r="G244" s="35"/>
    </row>
    <row r="245">
      <c r="D245" s="33"/>
      <c r="E245" s="34"/>
      <c r="G245" s="35"/>
    </row>
    <row r="246">
      <c r="D246" s="33"/>
      <c r="E246" s="34"/>
      <c r="G246" s="35"/>
    </row>
    <row r="247">
      <c r="D247" s="33"/>
      <c r="E247" s="34"/>
      <c r="G247" s="35"/>
    </row>
    <row r="248">
      <c r="D248" s="33"/>
      <c r="E248" s="34"/>
      <c r="G248" s="35"/>
    </row>
    <row r="249">
      <c r="D249" s="33"/>
      <c r="E249" s="34"/>
      <c r="G249" s="35"/>
    </row>
    <row r="250">
      <c r="D250" s="33"/>
      <c r="E250" s="34"/>
      <c r="G250" s="35"/>
    </row>
    <row r="251">
      <c r="D251" s="33"/>
      <c r="E251" s="34"/>
      <c r="G251" s="35"/>
    </row>
    <row r="252">
      <c r="D252" s="33"/>
      <c r="E252" s="34"/>
      <c r="G252" s="35"/>
    </row>
    <row r="253">
      <c r="D253" s="33"/>
      <c r="E253" s="34"/>
      <c r="G253" s="35"/>
    </row>
    <row r="254">
      <c r="D254" s="33"/>
      <c r="E254" s="34"/>
      <c r="G254" s="35"/>
    </row>
    <row r="255">
      <c r="D255" s="33"/>
      <c r="E255" s="34"/>
      <c r="G255" s="35"/>
    </row>
    <row r="256">
      <c r="D256" s="33"/>
      <c r="E256" s="34"/>
      <c r="G256" s="35"/>
    </row>
    <row r="257">
      <c r="D257" s="33"/>
      <c r="E257" s="34"/>
      <c r="G257" s="35"/>
    </row>
    <row r="258">
      <c r="D258" s="33"/>
      <c r="E258" s="34"/>
      <c r="G258" s="35"/>
    </row>
    <row r="259">
      <c r="D259" s="33"/>
      <c r="E259" s="34"/>
      <c r="G259" s="35"/>
    </row>
    <row r="260">
      <c r="D260" s="33"/>
      <c r="E260" s="34"/>
      <c r="G260" s="35"/>
    </row>
    <row r="261">
      <c r="D261" s="33"/>
      <c r="E261" s="34"/>
      <c r="G261" s="35"/>
    </row>
    <row r="262">
      <c r="D262" s="33"/>
      <c r="E262" s="34"/>
      <c r="G262" s="35"/>
    </row>
    <row r="263">
      <c r="D263" s="33"/>
      <c r="E263" s="34"/>
      <c r="G263" s="35"/>
    </row>
    <row r="264">
      <c r="D264" s="33"/>
      <c r="E264" s="34"/>
      <c r="G264" s="35"/>
    </row>
    <row r="265">
      <c r="D265" s="33"/>
      <c r="E265" s="34"/>
      <c r="G265" s="35"/>
    </row>
    <row r="266">
      <c r="D266" s="33"/>
      <c r="E266" s="34"/>
      <c r="G266" s="35"/>
    </row>
    <row r="267">
      <c r="D267" s="33"/>
      <c r="E267" s="34"/>
      <c r="G267" s="35"/>
    </row>
    <row r="268">
      <c r="D268" s="33"/>
      <c r="E268" s="34"/>
      <c r="G268" s="35"/>
    </row>
    <row r="269">
      <c r="D269" s="33"/>
      <c r="E269" s="34"/>
      <c r="G269" s="35"/>
    </row>
    <row r="270">
      <c r="D270" s="33"/>
      <c r="E270" s="34"/>
      <c r="G270" s="35"/>
    </row>
    <row r="271">
      <c r="D271" s="33"/>
      <c r="E271" s="34"/>
      <c r="G271" s="35"/>
    </row>
    <row r="272">
      <c r="D272" s="33"/>
      <c r="E272" s="34"/>
      <c r="G272" s="35"/>
    </row>
    <row r="273">
      <c r="D273" s="33"/>
      <c r="E273" s="34"/>
      <c r="G273" s="35"/>
    </row>
    <row r="274">
      <c r="D274" s="33"/>
      <c r="E274" s="34"/>
      <c r="G274" s="35"/>
    </row>
    <row r="275">
      <c r="D275" s="33"/>
      <c r="E275" s="34"/>
      <c r="G275" s="35"/>
    </row>
    <row r="276">
      <c r="D276" s="33"/>
      <c r="E276" s="34"/>
      <c r="G276" s="35"/>
    </row>
    <row r="277">
      <c r="D277" s="33"/>
      <c r="E277" s="34"/>
      <c r="G277" s="35"/>
    </row>
    <row r="278">
      <c r="D278" s="33"/>
      <c r="E278" s="34"/>
      <c r="G278" s="35"/>
    </row>
    <row r="279">
      <c r="D279" s="33"/>
      <c r="E279" s="34"/>
      <c r="G279" s="35"/>
    </row>
    <row r="280">
      <c r="D280" s="33"/>
      <c r="E280" s="34"/>
      <c r="G280" s="35"/>
    </row>
    <row r="281">
      <c r="D281" s="33"/>
      <c r="E281" s="34"/>
      <c r="G281" s="35"/>
    </row>
    <row r="282">
      <c r="D282" s="33"/>
      <c r="E282" s="34"/>
      <c r="G282" s="35"/>
    </row>
    <row r="283">
      <c r="D283" s="33"/>
      <c r="E283" s="34"/>
      <c r="G283" s="35"/>
    </row>
    <row r="284">
      <c r="D284" s="33"/>
      <c r="E284" s="34"/>
      <c r="G284" s="35"/>
    </row>
    <row r="285">
      <c r="D285" s="33"/>
      <c r="E285" s="34"/>
      <c r="G285" s="35"/>
    </row>
    <row r="286">
      <c r="D286" s="33"/>
      <c r="E286" s="34"/>
      <c r="G286" s="35"/>
    </row>
    <row r="287">
      <c r="D287" s="33"/>
      <c r="E287" s="34"/>
      <c r="G287" s="35"/>
    </row>
    <row r="288">
      <c r="D288" s="33"/>
      <c r="E288" s="34"/>
      <c r="G288" s="35"/>
    </row>
    <row r="289">
      <c r="D289" s="33"/>
      <c r="E289" s="34"/>
      <c r="G289" s="35"/>
    </row>
    <row r="290">
      <c r="D290" s="33"/>
      <c r="E290" s="34"/>
      <c r="G290" s="35"/>
    </row>
    <row r="291">
      <c r="D291" s="33"/>
      <c r="E291" s="34"/>
      <c r="G291" s="35"/>
    </row>
    <row r="292">
      <c r="D292" s="33"/>
      <c r="E292" s="34"/>
      <c r="G292" s="35"/>
    </row>
    <row r="293">
      <c r="D293" s="33"/>
      <c r="E293" s="34"/>
      <c r="G293" s="35"/>
    </row>
    <row r="294">
      <c r="D294" s="33"/>
      <c r="E294" s="34"/>
      <c r="G294" s="35"/>
    </row>
    <row r="295">
      <c r="D295" s="33"/>
      <c r="E295" s="34"/>
      <c r="G295" s="35"/>
    </row>
    <row r="296">
      <c r="D296" s="33"/>
      <c r="E296" s="34"/>
      <c r="G296" s="35"/>
    </row>
    <row r="297">
      <c r="D297" s="33"/>
      <c r="E297" s="34"/>
      <c r="G297" s="35"/>
    </row>
    <row r="298">
      <c r="D298" s="33"/>
      <c r="E298" s="34"/>
      <c r="G298" s="35"/>
    </row>
    <row r="299">
      <c r="D299" s="33"/>
      <c r="E299" s="34"/>
      <c r="G299" s="35"/>
    </row>
    <row r="300">
      <c r="D300" s="33"/>
      <c r="E300" s="34"/>
      <c r="G300" s="35"/>
    </row>
    <row r="301">
      <c r="D301" s="33"/>
      <c r="E301" s="34"/>
      <c r="G301" s="35"/>
    </row>
    <row r="302">
      <c r="D302" s="33"/>
      <c r="E302" s="34"/>
      <c r="G302" s="35"/>
    </row>
    <row r="303">
      <c r="D303" s="33"/>
      <c r="E303" s="34"/>
      <c r="G303" s="35"/>
    </row>
    <row r="304">
      <c r="D304" s="33"/>
      <c r="E304" s="34"/>
      <c r="G304" s="35"/>
    </row>
    <row r="305">
      <c r="D305" s="33"/>
      <c r="E305" s="34"/>
      <c r="G305" s="35"/>
    </row>
    <row r="306">
      <c r="D306" s="33"/>
      <c r="E306" s="34"/>
      <c r="G306" s="35"/>
    </row>
    <row r="307">
      <c r="D307" s="33"/>
      <c r="E307" s="34"/>
      <c r="G307" s="35"/>
    </row>
    <row r="308">
      <c r="D308" s="33"/>
      <c r="E308" s="34"/>
      <c r="G308" s="35"/>
    </row>
    <row r="309">
      <c r="D309" s="33"/>
      <c r="E309" s="34"/>
      <c r="G309" s="35"/>
    </row>
    <row r="310">
      <c r="D310" s="33"/>
      <c r="E310" s="34"/>
      <c r="G310" s="35"/>
    </row>
    <row r="311">
      <c r="D311" s="33"/>
      <c r="E311" s="34"/>
      <c r="G311" s="35"/>
    </row>
    <row r="312">
      <c r="D312" s="33"/>
      <c r="E312" s="34"/>
      <c r="G312" s="35"/>
    </row>
    <row r="313">
      <c r="D313" s="33"/>
      <c r="E313" s="34"/>
      <c r="G313" s="35"/>
    </row>
    <row r="314">
      <c r="D314" s="33"/>
      <c r="E314" s="34"/>
      <c r="G314" s="35"/>
    </row>
    <row r="315">
      <c r="D315" s="33"/>
      <c r="E315" s="34"/>
      <c r="G315" s="35"/>
    </row>
    <row r="316">
      <c r="D316" s="33"/>
      <c r="E316" s="34"/>
      <c r="G316" s="35"/>
    </row>
    <row r="317">
      <c r="D317" s="33"/>
      <c r="E317" s="34"/>
      <c r="G317" s="35"/>
    </row>
    <row r="318">
      <c r="D318" s="33"/>
      <c r="E318" s="34"/>
      <c r="G318" s="35"/>
    </row>
    <row r="319">
      <c r="D319" s="33"/>
      <c r="E319" s="34"/>
      <c r="G319" s="35"/>
    </row>
    <row r="320">
      <c r="D320" s="33"/>
      <c r="E320" s="34"/>
      <c r="G320" s="35"/>
    </row>
    <row r="321">
      <c r="D321" s="33"/>
      <c r="E321" s="34"/>
      <c r="G321" s="35"/>
    </row>
    <row r="322">
      <c r="D322" s="33"/>
      <c r="E322" s="34"/>
      <c r="G322" s="35"/>
    </row>
    <row r="323">
      <c r="D323" s="33"/>
      <c r="E323" s="34"/>
      <c r="G323" s="35"/>
    </row>
    <row r="324">
      <c r="D324" s="33"/>
      <c r="E324" s="34"/>
      <c r="G324" s="35"/>
    </row>
    <row r="325">
      <c r="D325" s="33"/>
      <c r="E325" s="34"/>
      <c r="G325" s="35"/>
    </row>
    <row r="326">
      <c r="D326" s="33"/>
      <c r="E326" s="34"/>
      <c r="G326" s="35"/>
    </row>
    <row r="327">
      <c r="D327" s="33"/>
      <c r="E327" s="34"/>
      <c r="G327" s="35"/>
    </row>
    <row r="328">
      <c r="D328" s="33"/>
      <c r="E328" s="34"/>
      <c r="G328" s="35"/>
    </row>
    <row r="329">
      <c r="D329" s="33"/>
      <c r="E329" s="34"/>
      <c r="G329" s="35"/>
    </row>
    <row r="330">
      <c r="D330" s="33"/>
      <c r="E330" s="34"/>
      <c r="G330" s="35"/>
    </row>
    <row r="331">
      <c r="D331" s="33"/>
      <c r="E331" s="34"/>
      <c r="G331" s="35"/>
    </row>
    <row r="332">
      <c r="D332" s="33"/>
      <c r="E332" s="34"/>
      <c r="G332" s="35"/>
    </row>
    <row r="333">
      <c r="D333" s="33"/>
      <c r="E333" s="34"/>
      <c r="G333" s="35"/>
    </row>
    <row r="334">
      <c r="D334" s="33"/>
      <c r="E334" s="34"/>
      <c r="G334" s="35"/>
    </row>
    <row r="335">
      <c r="D335" s="33"/>
      <c r="E335" s="34"/>
      <c r="G335" s="35"/>
    </row>
    <row r="336">
      <c r="D336" s="33"/>
      <c r="E336" s="34"/>
      <c r="G336" s="35"/>
    </row>
    <row r="337">
      <c r="D337" s="33"/>
      <c r="E337" s="34"/>
      <c r="G337" s="35"/>
    </row>
    <row r="338">
      <c r="D338" s="33"/>
      <c r="E338" s="34"/>
      <c r="G338" s="35"/>
    </row>
    <row r="339">
      <c r="D339" s="33"/>
      <c r="E339" s="34"/>
      <c r="G339" s="35"/>
    </row>
    <row r="340">
      <c r="D340" s="33"/>
      <c r="E340" s="34"/>
      <c r="G340" s="35"/>
    </row>
    <row r="341">
      <c r="D341" s="33"/>
      <c r="E341" s="34"/>
      <c r="G341" s="35"/>
    </row>
    <row r="342">
      <c r="D342" s="33"/>
      <c r="E342" s="34"/>
      <c r="G342" s="35"/>
    </row>
    <row r="343">
      <c r="D343" s="33"/>
      <c r="E343" s="34"/>
      <c r="G343" s="35"/>
    </row>
    <row r="344">
      <c r="D344" s="33"/>
      <c r="E344" s="34"/>
      <c r="G344" s="35"/>
    </row>
    <row r="345">
      <c r="D345" s="33"/>
      <c r="E345" s="34"/>
      <c r="G345" s="35"/>
    </row>
    <row r="346">
      <c r="D346" s="33"/>
      <c r="E346" s="34"/>
      <c r="G346" s="35"/>
    </row>
    <row r="347">
      <c r="D347" s="33"/>
      <c r="E347" s="34"/>
      <c r="G347" s="35"/>
    </row>
    <row r="348">
      <c r="D348" s="33"/>
      <c r="E348" s="34"/>
      <c r="G348" s="35"/>
    </row>
    <row r="349">
      <c r="D349" s="33"/>
      <c r="E349" s="34"/>
      <c r="G349" s="35"/>
    </row>
    <row r="350">
      <c r="D350" s="33"/>
      <c r="E350" s="34"/>
      <c r="G350" s="35"/>
    </row>
    <row r="351">
      <c r="D351" s="33"/>
      <c r="E351" s="34"/>
      <c r="G351" s="35"/>
    </row>
    <row r="352">
      <c r="D352" s="33"/>
      <c r="E352" s="34"/>
      <c r="G352" s="35"/>
    </row>
    <row r="353">
      <c r="D353" s="33"/>
      <c r="E353" s="34"/>
      <c r="G353" s="35"/>
    </row>
    <row r="354">
      <c r="D354" s="33"/>
      <c r="E354" s="34"/>
      <c r="G354" s="35"/>
    </row>
    <row r="355">
      <c r="D355" s="33"/>
      <c r="E355" s="34"/>
      <c r="G355" s="35"/>
    </row>
    <row r="356">
      <c r="D356" s="33"/>
      <c r="E356" s="34"/>
      <c r="G356" s="35"/>
    </row>
    <row r="357">
      <c r="D357" s="33"/>
      <c r="E357" s="34"/>
      <c r="G357" s="35"/>
    </row>
    <row r="358">
      <c r="D358" s="33"/>
      <c r="E358" s="34"/>
      <c r="G358" s="35"/>
    </row>
    <row r="359">
      <c r="D359" s="33"/>
      <c r="E359" s="34"/>
      <c r="G359" s="35"/>
    </row>
    <row r="360">
      <c r="D360" s="33"/>
      <c r="E360" s="34"/>
      <c r="G360" s="35"/>
    </row>
    <row r="361">
      <c r="D361" s="33"/>
      <c r="E361" s="34"/>
      <c r="G361" s="35"/>
    </row>
    <row r="362">
      <c r="D362" s="33"/>
      <c r="E362" s="34"/>
      <c r="G362" s="35"/>
    </row>
    <row r="363">
      <c r="D363" s="33"/>
      <c r="E363" s="34"/>
      <c r="G363" s="35"/>
    </row>
    <row r="364">
      <c r="D364" s="33"/>
      <c r="E364" s="34"/>
      <c r="G364" s="35"/>
    </row>
    <row r="365">
      <c r="D365" s="33"/>
      <c r="E365" s="34"/>
      <c r="G365" s="35"/>
    </row>
    <row r="366">
      <c r="D366" s="33"/>
      <c r="E366" s="34"/>
      <c r="G366" s="35"/>
    </row>
    <row r="367">
      <c r="D367" s="33"/>
      <c r="E367" s="34"/>
      <c r="G367" s="35"/>
    </row>
    <row r="368">
      <c r="D368" s="33"/>
      <c r="E368" s="34"/>
      <c r="G368" s="35"/>
    </row>
    <row r="369">
      <c r="D369" s="33"/>
      <c r="E369" s="34"/>
      <c r="G369" s="35"/>
    </row>
    <row r="370">
      <c r="D370" s="33"/>
      <c r="E370" s="34"/>
      <c r="G370" s="35"/>
    </row>
    <row r="371">
      <c r="D371" s="33"/>
      <c r="E371" s="34"/>
      <c r="G371" s="35"/>
    </row>
    <row r="372">
      <c r="D372" s="33"/>
      <c r="E372" s="34"/>
      <c r="G372" s="35"/>
    </row>
    <row r="373">
      <c r="D373" s="33"/>
      <c r="E373" s="34"/>
      <c r="G373" s="35"/>
    </row>
    <row r="374">
      <c r="D374" s="33"/>
      <c r="E374" s="34"/>
      <c r="G374" s="35"/>
    </row>
    <row r="375">
      <c r="D375" s="33"/>
      <c r="E375" s="34"/>
      <c r="G375" s="35"/>
    </row>
    <row r="376">
      <c r="D376" s="33"/>
      <c r="E376" s="34"/>
      <c r="G376" s="35"/>
    </row>
    <row r="377">
      <c r="D377" s="33"/>
      <c r="E377" s="34"/>
      <c r="G377" s="35"/>
    </row>
    <row r="378">
      <c r="D378" s="33"/>
      <c r="E378" s="34"/>
      <c r="G378" s="35"/>
    </row>
    <row r="379">
      <c r="D379" s="33"/>
      <c r="E379" s="34"/>
      <c r="G379" s="35"/>
    </row>
    <row r="380">
      <c r="D380" s="33"/>
      <c r="E380" s="34"/>
      <c r="G380" s="35"/>
    </row>
    <row r="381">
      <c r="D381" s="33"/>
      <c r="E381" s="34"/>
      <c r="G381" s="35"/>
    </row>
    <row r="382">
      <c r="D382" s="33"/>
      <c r="E382" s="34"/>
      <c r="G382" s="35"/>
    </row>
    <row r="383">
      <c r="D383" s="33"/>
      <c r="E383" s="34"/>
      <c r="G383" s="35"/>
    </row>
    <row r="384">
      <c r="D384" s="33"/>
      <c r="E384" s="34"/>
      <c r="G384" s="35"/>
    </row>
    <row r="385">
      <c r="D385" s="33"/>
      <c r="E385" s="34"/>
      <c r="G385" s="35"/>
    </row>
    <row r="386">
      <c r="D386" s="33"/>
      <c r="E386" s="34"/>
      <c r="G386" s="35"/>
    </row>
    <row r="387">
      <c r="D387" s="33"/>
      <c r="E387" s="34"/>
      <c r="G387" s="35"/>
    </row>
    <row r="388">
      <c r="D388" s="33"/>
      <c r="E388" s="34"/>
      <c r="G388" s="35"/>
    </row>
    <row r="389">
      <c r="D389" s="33"/>
      <c r="E389" s="34"/>
      <c r="G389" s="35"/>
    </row>
    <row r="390">
      <c r="D390" s="33"/>
      <c r="E390" s="34"/>
      <c r="G390" s="35"/>
    </row>
    <row r="391">
      <c r="D391" s="33"/>
      <c r="E391" s="34"/>
      <c r="G391" s="35"/>
    </row>
    <row r="392">
      <c r="D392" s="33"/>
      <c r="E392" s="34"/>
      <c r="G392" s="35"/>
    </row>
    <row r="393">
      <c r="D393" s="33"/>
      <c r="E393" s="34"/>
      <c r="G393" s="35"/>
    </row>
    <row r="394">
      <c r="D394" s="33"/>
      <c r="E394" s="34"/>
      <c r="G394" s="35"/>
    </row>
    <row r="395">
      <c r="D395" s="33"/>
      <c r="E395" s="34"/>
      <c r="G395" s="35"/>
    </row>
    <row r="396">
      <c r="D396" s="33"/>
      <c r="E396" s="34"/>
      <c r="G396" s="35"/>
    </row>
    <row r="397">
      <c r="D397" s="33"/>
      <c r="E397" s="34"/>
      <c r="G397" s="35"/>
    </row>
    <row r="398">
      <c r="D398" s="33"/>
      <c r="E398" s="34"/>
      <c r="G398" s="35"/>
    </row>
    <row r="399">
      <c r="D399" s="33"/>
      <c r="E399" s="34"/>
      <c r="G399" s="35"/>
    </row>
    <row r="400">
      <c r="D400" s="33"/>
      <c r="E400" s="34"/>
      <c r="G400" s="35"/>
    </row>
    <row r="401">
      <c r="D401" s="33"/>
      <c r="E401" s="34"/>
      <c r="G401" s="35"/>
    </row>
    <row r="402">
      <c r="D402" s="33"/>
      <c r="E402" s="34"/>
      <c r="G402" s="35"/>
    </row>
    <row r="403">
      <c r="D403" s="33"/>
      <c r="E403" s="34"/>
      <c r="G403" s="35"/>
    </row>
    <row r="404">
      <c r="D404" s="33"/>
      <c r="E404" s="34"/>
      <c r="G404" s="35"/>
    </row>
    <row r="405">
      <c r="D405" s="33"/>
      <c r="E405" s="34"/>
      <c r="G405" s="35"/>
    </row>
    <row r="406">
      <c r="D406" s="33"/>
      <c r="E406" s="34"/>
      <c r="G406" s="35"/>
    </row>
    <row r="407">
      <c r="D407" s="33"/>
      <c r="E407" s="34"/>
      <c r="G407" s="35"/>
    </row>
    <row r="408">
      <c r="D408" s="33"/>
      <c r="E408" s="34"/>
      <c r="G408" s="35"/>
    </row>
    <row r="409">
      <c r="D409" s="33"/>
      <c r="E409" s="34"/>
      <c r="G409" s="35"/>
    </row>
    <row r="410">
      <c r="D410" s="33"/>
      <c r="E410" s="34"/>
      <c r="G410" s="35"/>
    </row>
    <row r="411">
      <c r="D411" s="33"/>
      <c r="E411" s="34"/>
      <c r="G411" s="35"/>
    </row>
    <row r="412">
      <c r="D412" s="33"/>
      <c r="E412" s="34"/>
      <c r="G412" s="35"/>
    </row>
    <row r="413">
      <c r="D413" s="33"/>
      <c r="E413" s="34"/>
      <c r="G413" s="35"/>
    </row>
    <row r="414">
      <c r="D414" s="33"/>
      <c r="E414" s="34"/>
      <c r="G414" s="35"/>
    </row>
    <row r="415">
      <c r="D415" s="33"/>
      <c r="E415" s="34"/>
      <c r="G415" s="35"/>
    </row>
    <row r="416">
      <c r="D416" s="33"/>
      <c r="E416" s="34"/>
      <c r="G416" s="35"/>
    </row>
    <row r="417">
      <c r="D417" s="33"/>
      <c r="E417" s="34"/>
      <c r="G417" s="35"/>
    </row>
    <row r="418">
      <c r="D418" s="33"/>
      <c r="E418" s="34"/>
      <c r="G418" s="35"/>
    </row>
    <row r="419">
      <c r="D419" s="33"/>
      <c r="E419" s="34"/>
      <c r="G419" s="35"/>
    </row>
    <row r="420">
      <c r="D420" s="33"/>
      <c r="E420" s="34"/>
      <c r="G420" s="35"/>
    </row>
    <row r="421">
      <c r="D421" s="33"/>
      <c r="E421" s="34"/>
      <c r="G421" s="35"/>
    </row>
    <row r="422">
      <c r="D422" s="33"/>
      <c r="E422" s="34"/>
      <c r="G422" s="35"/>
    </row>
    <row r="423">
      <c r="D423" s="33"/>
      <c r="E423" s="34"/>
      <c r="G423" s="35"/>
    </row>
    <row r="424">
      <c r="D424" s="33"/>
      <c r="E424" s="34"/>
      <c r="G424" s="35"/>
    </row>
    <row r="425">
      <c r="D425" s="33"/>
      <c r="E425" s="34"/>
      <c r="G425" s="35"/>
    </row>
    <row r="426">
      <c r="D426" s="33"/>
      <c r="E426" s="34"/>
      <c r="G426" s="35"/>
    </row>
    <row r="427">
      <c r="D427" s="33"/>
      <c r="E427" s="34"/>
      <c r="G427" s="35"/>
    </row>
    <row r="428">
      <c r="D428" s="33"/>
      <c r="E428" s="34"/>
      <c r="G428" s="35"/>
    </row>
    <row r="429">
      <c r="D429" s="33"/>
      <c r="E429" s="34"/>
      <c r="G429" s="35"/>
    </row>
    <row r="430">
      <c r="D430" s="33"/>
      <c r="E430" s="34"/>
      <c r="G430" s="35"/>
    </row>
    <row r="431">
      <c r="D431" s="33"/>
      <c r="E431" s="34"/>
      <c r="G431" s="35"/>
    </row>
    <row r="432">
      <c r="D432" s="33"/>
      <c r="E432" s="34"/>
      <c r="G432" s="35"/>
    </row>
    <row r="433">
      <c r="D433" s="33"/>
      <c r="E433" s="34"/>
      <c r="G433" s="35"/>
    </row>
    <row r="434">
      <c r="D434" s="33"/>
      <c r="E434" s="34"/>
      <c r="G434" s="35"/>
    </row>
    <row r="435">
      <c r="D435" s="33"/>
      <c r="E435" s="34"/>
      <c r="G435" s="35"/>
    </row>
    <row r="436">
      <c r="D436" s="33"/>
      <c r="E436" s="34"/>
      <c r="G436" s="35"/>
    </row>
    <row r="437">
      <c r="D437" s="33"/>
      <c r="E437" s="34"/>
      <c r="G437" s="35"/>
    </row>
    <row r="438">
      <c r="D438" s="33"/>
      <c r="E438" s="34"/>
      <c r="G438" s="35"/>
    </row>
    <row r="439">
      <c r="D439" s="33"/>
      <c r="E439" s="34"/>
      <c r="G439" s="35"/>
    </row>
    <row r="440">
      <c r="D440" s="33"/>
      <c r="E440" s="34"/>
      <c r="G440" s="35"/>
    </row>
    <row r="441">
      <c r="D441" s="33"/>
      <c r="E441" s="34"/>
      <c r="G441" s="35"/>
    </row>
    <row r="442">
      <c r="D442" s="33"/>
      <c r="E442" s="34"/>
      <c r="G442" s="35"/>
    </row>
    <row r="443">
      <c r="D443" s="33"/>
      <c r="E443" s="34"/>
      <c r="G443" s="35"/>
    </row>
    <row r="444">
      <c r="D444" s="33"/>
      <c r="E444" s="34"/>
      <c r="G444" s="35"/>
    </row>
    <row r="445">
      <c r="D445" s="33"/>
      <c r="E445" s="34"/>
      <c r="G445" s="35"/>
    </row>
    <row r="446">
      <c r="D446" s="33"/>
      <c r="E446" s="34"/>
      <c r="G446" s="35"/>
    </row>
    <row r="447">
      <c r="D447" s="33"/>
      <c r="E447" s="34"/>
      <c r="G447" s="35"/>
    </row>
    <row r="448">
      <c r="D448" s="33"/>
      <c r="E448" s="34"/>
      <c r="G448" s="35"/>
    </row>
    <row r="449">
      <c r="D449" s="33"/>
      <c r="E449" s="34"/>
      <c r="G449" s="35"/>
    </row>
    <row r="450">
      <c r="D450" s="33"/>
      <c r="E450" s="34"/>
      <c r="G450" s="35"/>
    </row>
    <row r="451">
      <c r="D451" s="33"/>
      <c r="E451" s="34"/>
      <c r="G451" s="35"/>
    </row>
    <row r="452">
      <c r="D452" s="33"/>
      <c r="E452" s="34"/>
      <c r="G452" s="35"/>
    </row>
    <row r="453">
      <c r="D453" s="33"/>
      <c r="E453" s="34"/>
      <c r="G453" s="35"/>
    </row>
    <row r="454">
      <c r="D454" s="33"/>
      <c r="E454" s="34"/>
      <c r="G454" s="35"/>
    </row>
    <row r="455">
      <c r="D455" s="33"/>
      <c r="E455" s="34"/>
      <c r="G455" s="35"/>
    </row>
    <row r="456">
      <c r="D456" s="33"/>
      <c r="E456" s="34"/>
      <c r="G456" s="35"/>
    </row>
    <row r="457">
      <c r="D457" s="33"/>
      <c r="E457" s="34"/>
      <c r="G457" s="35"/>
    </row>
    <row r="458">
      <c r="D458" s="33"/>
      <c r="E458" s="34"/>
      <c r="G458" s="35"/>
    </row>
    <row r="459">
      <c r="D459" s="33"/>
      <c r="E459" s="34"/>
      <c r="G459" s="35"/>
    </row>
    <row r="460">
      <c r="D460" s="33"/>
      <c r="E460" s="34"/>
      <c r="G460" s="35"/>
    </row>
    <row r="461">
      <c r="D461" s="33"/>
      <c r="E461" s="34"/>
      <c r="G461" s="35"/>
    </row>
    <row r="462">
      <c r="D462" s="33"/>
      <c r="E462" s="34"/>
      <c r="G462" s="35"/>
    </row>
    <row r="463">
      <c r="D463" s="33"/>
      <c r="E463" s="34"/>
      <c r="G463" s="35"/>
    </row>
    <row r="464">
      <c r="D464" s="33"/>
      <c r="E464" s="34"/>
      <c r="G464" s="35"/>
    </row>
    <row r="465">
      <c r="D465" s="33"/>
      <c r="E465" s="34"/>
      <c r="G465" s="35"/>
    </row>
    <row r="466">
      <c r="D466" s="33"/>
      <c r="E466" s="34"/>
      <c r="G466" s="35"/>
    </row>
    <row r="467">
      <c r="D467" s="33"/>
      <c r="E467" s="34"/>
      <c r="G467" s="35"/>
    </row>
    <row r="468">
      <c r="D468" s="33"/>
      <c r="E468" s="34"/>
      <c r="G468" s="35"/>
    </row>
    <row r="469">
      <c r="D469" s="33"/>
      <c r="E469" s="34"/>
      <c r="G469" s="35"/>
    </row>
    <row r="470">
      <c r="D470" s="33"/>
      <c r="E470" s="34"/>
      <c r="G470" s="35"/>
    </row>
    <row r="471">
      <c r="D471" s="33"/>
      <c r="E471" s="34"/>
      <c r="G471" s="35"/>
    </row>
    <row r="472">
      <c r="D472" s="33"/>
      <c r="E472" s="34"/>
      <c r="G472" s="35"/>
    </row>
    <row r="473">
      <c r="D473" s="33"/>
      <c r="E473" s="34"/>
      <c r="G473" s="35"/>
    </row>
    <row r="474">
      <c r="D474" s="33"/>
      <c r="E474" s="34"/>
      <c r="G474" s="35"/>
    </row>
    <row r="475">
      <c r="D475" s="33"/>
      <c r="E475" s="34"/>
      <c r="G475" s="35"/>
    </row>
    <row r="476">
      <c r="D476" s="33"/>
      <c r="E476" s="34"/>
      <c r="G476" s="35"/>
    </row>
    <row r="477">
      <c r="D477" s="33"/>
      <c r="E477" s="34"/>
      <c r="G477" s="35"/>
    </row>
    <row r="478">
      <c r="D478" s="33"/>
      <c r="E478" s="34"/>
      <c r="G478" s="35"/>
    </row>
    <row r="479">
      <c r="D479" s="33"/>
      <c r="E479" s="34"/>
      <c r="G479" s="35"/>
    </row>
    <row r="480">
      <c r="D480" s="33"/>
      <c r="E480" s="34"/>
      <c r="G480" s="35"/>
    </row>
    <row r="481">
      <c r="D481" s="33"/>
      <c r="E481" s="34"/>
      <c r="G481" s="35"/>
    </row>
    <row r="482">
      <c r="D482" s="33"/>
      <c r="E482" s="34"/>
      <c r="G482" s="35"/>
    </row>
    <row r="483">
      <c r="D483" s="33"/>
      <c r="E483" s="34"/>
      <c r="G483" s="35"/>
    </row>
    <row r="484">
      <c r="D484" s="33"/>
      <c r="E484" s="34"/>
      <c r="G484" s="35"/>
    </row>
    <row r="485">
      <c r="D485" s="33"/>
      <c r="E485" s="34"/>
      <c r="G485" s="35"/>
    </row>
    <row r="486">
      <c r="D486" s="33"/>
      <c r="E486" s="34"/>
      <c r="G486" s="35"/>
    </row>
    <row r="487">
      <c r="D487" s="33"/>
      <c r="E487" s="34"/>
      <c r="G487" s="35"/>
    </row>
    <row r="488">
      <c r="D488" s="33"/>
      <c r="E488" s="34"/>
      <c r="G488" s="35"/>
    </row>
    <row r="489">
      <c r="D489" s="33"/>
      <c r="E489" s="34"/>
      <c r="G489" s="35"/>
    </row>
    <row r="490">
      <c r="D490" s="33"/>
      <c r="E490" s="34"/>
      <c r="G490" s="35"/>
    </row>
    <row r="491">
      <c r="D491" s="33"/>
      <c r="E491" s="34"/>
      <c r="G491" s="35"/>
    </row>
    <row r="492">
      <c r="D492" s="33"/>
      <c r="E492" s="34"/>
      <c r="G492" s="35"/>
    </row>
    <row r="493">
      <c r="D493" s="33"/>
      <c r="E493" s="34"/>
      <c r="G493" s="35"/>
    </row>
    <row r="494">
      <c r="D494" s="33"/>
      <c r="E494" s="34"/>
      <c r="G494" s="35"/>
    </row>
    <row r="495">
      <c r="D495" s="33"/>
      <c r="E495" s="34"/>
      <c r="G495" s="35"/>
    </row>
    <row r="496">
      <c r="D496" s="33"/>
      <c r="E496" s="34"/>
      <c r="G496" s="35"/>
    </row>
    <row r="497">
      <c r="D497" s="33"/>
      <c r="E497" s="34"/>
      <c r="G497" s="35"/>
    </row>
    <row r="498">
      <c r="D498" s="33"/>
      <c r="E498" s="34"/>
      <c r="G498" s="35"/>
    </row>
    <row r="499">
      <c r="D499" s="33"/>
      <c r="E499" s="34"/>
      <c r="G499" s="35"/>
    </row>
    <row r="500">
      <c r="D500" s="33"/>
      <c r="E500" s="34"/>
      <c r="G500" s="35"/>
    </row>
    <row r="501">
      <c r="D501" s="33"/>
      <c r="E501" s="34"/>
      <c r="G501" s="35"/>
    </row>
    <row r="502">
      <c r="D502" s="33"/>
      <c r="E502" s="34"/>
      <c r="G502" s="35"/>
    </row>
    <row r="503">
      <c r="D503" s="33"/>
      <c r="E503" s="34"/>
      <c r="G503" s="35"/>
    </row>
    <row r="504">
      <c r="D504" s="33"/>
      <c r="E504" s="34"/>
      <c r="G504" s="35"/>
    </row>
    <row r="505">
      <c r="D505" s="33"/>
      <c r="E505" s="34"/>
      <c r="G505" s="35"/>
    </row>
    <row r="506">
      <c r="D506" s="33"/>
      <c r="E506" s="34"/>
      <c r="G506" s="35"/>
    </row>
    <row r="507">
      <c r="D507" s="33"/>
      <c r="E507" s="34"/>
      <c r="G507" s="35"/>
    </row>
    <row r="508">
      <c r="D508" s="33"/>
      <c r="E508" s="34"/>
      <c r="G508" s="35"/>
    </row>
    <row r="509">
      <c r="D509" s="33"/>
      <c r="E509" s="34"/>
      <c r="G509" s="35"/>
    </row>
    <row r="510">
      <c r="D510" s="33"/>
      <c r="E510" s="34"/>
      <c r="G510" s="35"/>
    </row>
    <row r="511">
      <c r="D511" s="33"/>
      <c r="E511" s="34"/>
      <c r="G511" s="35"/>
    </row>
    <row r="512">
      <c r="D512" s="33"/>
      <c r="E512" s="34"/>
      <c r="G512" s="35"/>
    </row>
    <row r="513">
      <c r="D513" s="33"/>
      <c r="E513" s="34"/>
      <c r="G513" s="35"/>
    </row>
    <row r="514">
      <c r="D514" s="33"/>
      <c r="E514" s="34"/>
      <c r="G514" s="35"/>
    </row>
    <row r="515">
      <c r="D515" s="33"/>
      <c r="E515" s="34"/>
      <c r="G515" s="35"/>
    </row>
    <row r="516">
      <c r="D516" s="33"/>
      <c r="E516" s="34"/>
      <c r="G516" s="35"/>
    </row>
    <row r="517">
      <c r="D517" s="33"/>
      <c r="E517" s="34"/>
      <c r="G517" s="35"/>
    </row>
    <row r="518">
      <c r="D518" s="33"/>
      <c r="E518" s="34"/>
      <c r="G518" s="35"/>
    </row>
    <row r="519">
      <c r="D519" s="33"/>
      <c r="E519" s="34"/>
      <c r="G519" s="35"/>
    </row>
    <row r="520">
      <c r="D520" s="33"/>
      <c r="E520" s="34"/>
      <c r="G520" s="35"/>
    </row>
    <row r="521">
      <c r="D521" s="33"/>
      <c r="E521" s="34"/>
      <c r="G521" s="35"/>
    </row>
    <row r="522">
      <c r="D522" s="33"/>
      <c r="E522" s="34"/>
      <c r="G522" s="35"/>
    </row>
    <row r="523">
      <c r="D523" s="33"/>
      <c r="E523" s="34"/>
      <c r="G523" s="35"/>
    </row>
    <row r="524">
      <c r="D524" s="33"/>
      <c r="E524" s="34"/>
      <c r="G524" s="35"/>
    </row>
    <row r="525">
      <c r="D525" s="33"/>
      <c r="E525" s="34"/>
      <c r="G525" s="35"/>
    </row>
    <row r="526">
      <c r="D526" s="33"/>
      <c r="E526" s="34"/>
      <c r="G526" s="35"/>
    </row>
    <row r="527">
      <c r="D527" s="33"/>
      <c r="E527" s="34"/>
      <c r="G527" s="35"/>
    </row>
    <row r="528">
      <c r="D528" s="33"/>
      <c r="E528" s="34"/>
      <c r="G528" s="35"/>
    </row>
    <row r="529">
      <c r="D529" s="33"/>
      <c r="E529" s="34"/>
      <c r="G529" s="35"/>
    </row>
    <row r="530">
      <c r="D530" s="33"/>
      <c r="E530" s="34"/>
      <c r="G530" s="35"/>
    </row>
    <row r="531">
      <c r="D531" s="33"/>
      <c r="E531" s="34"/>
      <c r="G531" s="35"/>
    </row>
    <row r="532">
      <c r="D532" s="33"/>
      <c r="E532" s="34"/>
      <c r="G532" s="35"/>
    </row>
    <row r="533">
      <c r="D533" s="33"/>
      <c r="E533" s="34"/>
      <c r="G533" s="35"/>
    </row>
    <row r="534">
      <c r="D534" s="33"/>
      <c r="E534" s="34"/>
      <c r="G534" s="35"/>
    </row>
    <row r="535">
      <c r="D535" s="33"/>
      <c r="E535" s="34"/>
      <c r="G535" s="35"/>
    </row>
    <row r="536">
      <c r="D536" s="33"/>
      <c r="E536" s="34"/>
      <c r="G536" s="35"/>
    </row>
    <row r="537">
      <c r="D537" s="33"/>
      <c r="E537" s="34"/>
      <c r="G537" s="35"/>
    </row>
    <row r="538">
      <c r="D538" s="33"/>
      <c r="E538" s="34"/>
      <c r="G538" s="35"/>
    </row>
    <row r="539">
      <c r="D539" s="33"/>
      <c r="E539" s="34"/>
      <c r="G539" s="35"/>
    </row>
    <row r="540">
      <c r="D540" s="33"/>
      <c r="E540" s="34"/>
      <c r="G540" s="35"/>
    </row>
    <row r="541">
      <c r="D541" s="33"/>
      <c r="E541" s="34"/>
      <c r="G541" s="35"/>
    </row>
    <row r="542">
      <c r="D542" s="33"/>
      <c r="E542" s="34"/>
      <c r="G542" s="35"/>
    </row>
    <row r="543">
      <c r="D543" s="33"/>
      <c r="E543" s="34"/>
      <c r="G543" s="35"/>
    </row>
    <row r="544">
      <c r="D544" s="33"/>
      <c r="E544" s="34"/>
      <c r="G544" s="35"/>
    </row>
    <row r="545">
      <c r="D545" s="33"/>
      <c r="E545" s="34"/>
      <c r="G545" s="35"/>
    </row>
    <row r="546">
      <c r="D546" s="33"/>
      <c r="E546" s="34"/>
      <c r="G546" s="35"/>
    </row>
    <row r="547">
      <c r="D547" s="33"/>
      <c r="E547" s="34"/>
      <c r="G547" s="35"/>
    </row>
    <row r="548">
      <c r="D548" s="33"/>
      <c r="E548" s="34"/>
      <c r="G548" s="35"/>
    </row>
    <row r="549">
      <c r="D549" s="33"/>
      <c r="E549" s="34"/>
      <c r="G549" s="35"/>
    </row>
    <row r="550">
      <c r="D550" s="33"/>
      <c r="E550" s="34"/>
      <c r="G550" s="35"/>
    </row>
    <row r="551">
      <c r="D551" s="33"/>
      <c r="E551" s="34"/>
      <c r="G551" s="35"/>
    </row>
    <row r="552">
      <c r="D552" s="33"/>
      <c r="E552" s="34"/>
      <c r="G552" s="35"/>
    </row>
    <row r="553">
      <c r="D553" s="33"/>
      <c r="E553" s="34"/>
      <c r="G553" s="35"/>
    </row>
    <row r="554">
      <c r="D554" s="33"/>
      <c r="E554" s="34"/>
      <c r="G554" s="35"/>
    </row>
    <row r="555">
      <c r="D555" s="33"/>
      <c r="E555" s="34"/>
      <c r="G555" s="35"/>
    </row>
    <row r="556">
      <c r="D556" s="33"/>
      <c r="E556" s="34"/>
      <c r="G556" s="35"/>
    </row>
    <row r="557">
      <c r="D557" s="33"/>
      <c r="E557" s="34"/>
      <c r="G557" s="35"/>
    </row>
    <row r="558">
      <c r="D558" s="33"/>
      <c r="E558" s="34"/>
      <c r="G558" s="35"/>
    </row>
    <row r="559">
      <c r="D559" s="33"/>
      <c r="E559" s="34"/>
      <c r="G559" s="35"/>
    </row>
    <row r="560">
      <c r="D560" s="33"/>
      <c r="E560" s="34"/>
      <c r="G560" s="35"/>
    </row>
    <row r="561">
      <c r="D561" s="33"/>
      <c r="E561" s="34"/>
      <c r="G561" s="35"/>
    </row>
    <row r="562">
      <c r="D562" s="33"/>
      <c r="E562" s="34"/>
      <c r="G562" s="35"/>
    </row>
    <row r="563">
      <c r="D563" s="33"/>
      <c r="E563" s="34"/>
      <c r="G563" s="35"/>
    </row>
    <row r="564">
      <c r="D564" s="33"/>
      <c r="E564" s="34"/>
      <c r="G564" s="35"/>
    </row>
    <row r="565">
      <c r="D565" s="33"/>
      <c r="E565" s="34"/>
      <c r="G565" s="35"/>
    </row>
    <row r="566">
      <c r="D566" s="33"/>
      <c r="E566" s="34"/>
      <c r="G566" s="35"/>
    </row>
    <row r="567">
      <c r="D567" s="33"/>
      <c r="E567" s="34"/>
      <c r="G567" s="35"/>
    </row>
    <row r="568">
      <c r="D568" s="33"/>
      <c r="E568" s="34"/>
      <c r="G568" s="35"/>
    </row>
    <row r="569">
      <c r="D569" s="33"/>
      <c r="E569" s="34"/>
      <c r="G569" s="35"/>
    </row>
    <row r="570">
      <c r="D570" s="33"/>
      <c r="E570" s="34"/>
      <c r="G570" s="35"/>
    </row>
    <row r="571">
      <c r="D571" s="33"/>
      <c r="E571" s="34"/>
      <c r="G571" s="35"/>
    </row>
    <row r="572">
      <c r="D572" s="33"/>
      <c r="E572" s="34"/>
      <c r="G572" s="35"/>
    </row>
    <row r="573">
      <c r="D573" s="33"/>
      <c r="E573" s="34"/>
      <c r="G573" s="35"/>
    </row>
    <row r="574">
      <c r="D574" s="33"/>
      <c r="E574" s="34"/>
      <c r="G574" s="35"/>
    </row>
    <row r="575">
      <c r="D575" s="33"/>
      <c r="E575" s="34"/>
      <c r="G575" s="35"/>
    </row>
    <row r="576">
      <c r="D576" s="33"/>
      <c r="E576" s="34"/>
      <c r="G576" s="35"/>
    </row>
    <row r="577">
      <c r="D577" s="33"/>
      <c r="E577" s="34"/>
      <c r="G577" s="35"/>
    </row>
    <row r="578">
      <c r="D578" s="33"/>
      <c r="E578" s="34"/>
      <c r="G578" s="35"/>
    </row>
    <row r="579">
      <c r="D579" s="33"/>
      <c r="E579" s="34"/>
      <c r="G579" s="35"/>
    </row>
    <row r="580">
      <c r="D580" s="33"/>
      <c r="E580" s="34"/>
      <c r="G580" s="35"/>
    </row>
    <row r="581">
      <c r="D581" s="33"/>
      <c r="E581" s="34"/>
      <c r="G581" s="35"/>
    </row>
    <row r="582">
      <c r="D582" s="33"/>
      <c r="E582" s="34"/>
      <c r="G582" s="35"/>
    </row>
    <row r="583">
      <c r="D583" s="33"/>
      <c r="E583" s="34"/>
      <c r="G583" s="35"/>
    </row>
    <row r="584">
      <c r="D584" s="33"/>
      <c r="E584" s="34"/>
      <c r="G584" s="35"/>
    </row>
    <row r="585">
      <c r="D585" s="33"/>
      <c r="E585" s="34"/>
      <c r="G585" s="35"/>
    </row>
    <row r="586">
      <c r="D586" s="33"/>
      <c r="E586" s="34"/>
      <c r="G586" s="35"/>
    </row>
    <row r="587">
      <c r="D587" s="33"/>
      <c r="E587" s="34"/>
      <c r="G587" s="35"/>
    </row>
    <row r="588">
      <c r="D588" s="33"/>
      <c r="E588" s="34"/>
      <c r="G588" s="35"/>
    </row>
    <row r="589">
      <c r="D589" s="33"/>
      <c r="E589" s="34"/>
      <c r="G589" s="35"/>
    </row>
    <row r="590">
      <c r="D590" s="33"/>
      <c r="E590" s="34"/>
      <c r="G590" s="35"/>
    </row>
    <row r="591">
      <c r="D591" s="33"/>
      <c r="E591" s="34"/>
      <c r="G591" s="35"/>
    </row>
    <row r="592">
      <c r="D592" s="33"/>
      <c r="E592" s="34"/>
      <c r="G592" s="35"/>
    </row>
    <row r="593">
      <c r="D593" s="33"/>
      <c r="E593" s="34"/>
      <c r="G593" s="35"/>
    </row>
    <row r="594">
      <c r="D594" s="33"/>
      <c r="E594" s="34"/>
      <c r="G594" s="35"/>
    </row>
    <row r="595">
      <c r="D595" s="33"/>
      <c r="E595" s="34"/>
      <c r="G595" s="35"/>
    </row>
    <row r="596">
      <c r="D596" s="33"/>
      <c r="E596" s="34"/>
      <c r="G596" s="35"/>
    </row>
    <row r="597">
      <c r="D597" s="33"/>
      <c r="E597" s="34"/>
      <c r="G597" s="35"/>
    </row>
    <row r="598">
      <c r="D598" s="33"/>
      <c r="E598" s="34"/>
      <c r="G598" s="35"/>
    </row>
    <row r="599">
      <c r="D599" s="33"/>
      <c r="E599" s="34"/>
      <c r="G599" s="35"/>
    </row>
    <row r="600">
      <c r="D600" s="33"/>
      <c r="E600" s="34"/>
      <c r="G600" s="35"/>
    </row>
    <row r="601">
      <c r="D601" s="33"/>
      <c r="E601" s="34"/>
      <c r="G601" s="35"/>
    </row>
    <row r="602">
      <c r="D602" s="33"/>
      <c r="E602" s="34"/>
      <c r="G602" s="35"/>
    </row>
    <row r="603">
      <c r="D603" s="33"/>
      <c r="E603" s="34"/>
      <c r="G603" s="35"/>
    </row>
    <row r="604">
      <c r="D604" s="33"/>
      <c r="E604" s="34"/>
      <c r="G604" s="35"/>
    </row>
    <row r="605">
      <c r="D605" s="33"/>
      <c r="E605" s="34"/>
      <c r="G605" s="35"/>
    </row>
    <row r="606">
      <c r="D606" s="33"/>
      <c r="E606" s="34"/>
      <c r="G606" s="35"/>
    </row>
    <row r="607">
      <c r="D607" s="33"/>
      <c r="E607" s="34"/>
      <c r="G607" s="35"/>
    </row>
    <row r="608">
      <c r="D608" s="33"/>
      <c r="E608" s="34"/>
      <c r="G608" s="35"/>
    </row>
    <row r="609">
      <c r="D609" s="33"/>
      <c r="E609" s="34"/>
      <c r="G609" s="35"/>
    </row>
    <row r="610">
      <c r="D610" s="33"/>
      <c r="E610" s="34"/>
      <c r="G610" s="35"/>
    </row>
    <row r="611">
      <c r="D611" s="33"/>
      <c r="E611" s="34"/>
      <c r="G611" s="35"/>
    </row>
    <row r="612">
      <c r="D612" s="33"/>
      <c r="E612" s="34"/>
      <c r="G612" s="35"/>
    </row>
    <row r="613">
      <c r="D613" s="33"/>
      <c r="E613" s="34"/>
      <c r="G613" s="35"/>
    </row>
    <row r="614">
      <c r="D614" s="33"/>
      <c r="E614" s="34"/>
      <c r="G614" s="35"/>
    </row>
    <row r="615">
      <c r="D615" s="33"/>
      <c r="E615" s="34"/>
      <c r="G615" s="35"/>
    </row>
    <row r="616">
      <c r="D616" s="33"/>
      <c r="E616" s="34"/>
      <c r="G616" s="35"/>
    </row>
    <row r="617">
      <c r="D617" s="33"/>
      <c r="E617" s="34"/>
      <c r="G617" s="35"/>
    </row>
    <row r="618">
      <c r="D618" s="33"/>
      <c r="E618" s="34"/>
      <c r="G618" s="35"/>
    </row>
    <row r="619">
      <c r="D619" s="33"/>
      <c r="E619" s="34"/>
      <c r="G619" s="35"/>
    </row>
    <row r="620">
      <c r="D620" s="33"/>
      <c r="E620" s="34"/>
      <c r="G620" s="35"/>
    </row>
    <row r="621">
      <c r="D621" s="33"/>
      <c r="E621" s="34"/>
      <c r="G621" s="35"/>
    </row>
    <row r="622">
      <c r="D622" s="33"/>
      <c r="E622" s="34"/>
      <c r="G622" s="35"/>
    </row>
    <row r="623">
      <c r="D623" s="33"/>
      <c r="E623" s="34"/>
      <c r="G623" s="35"/>
    </row>
    <row r="624">
      <c r="D624" s="33"/>
      <c r="E624" s="34"/>
      <c r="G624" s="35"/>
    </row>
    <row r="625">
      <c r="D625" s="33"/>
      <c r="E625" s="34"/>
      <c r="G625" s="35"/>
    </row>
    <row r="626">
      <c r="D626" s="33"/>
      <c r="E626" s="34"/>
      <c r="G626" s="35"/>
    </row>
    <row r="627">
      <c r="D627" s="33"/>
      <c r="E627" s="34"/>
      <c r="G627" s="35"/>
    </row>
    <row r="628">
      <c r="D628" s="33"/>
      <c r="E628" s="34"/>
      <c r="G628" s="35"/>
    </row>
    <row r="629">
      <c r="D629" s="33"/>
      <c r="E629" s="34"/>
      <c r="G629" s="35"/>
    </row>
    <row r="630">
      <c r="D630" s="33"/>
      <c r="E630" s="34"/>
      <c r="G630" s="35"/>
    </row>
    <row r="631">
      <c r="D631" s="33"/>
      <c r="E631" s="34"/>
      <c r="G631" s="35"/>
    </row>
    <row r="632">
      <c r="D632" s="33"/>
      <c r="E632" s="34"/>
      <c r="G632" s="35"/>
    </row>
    <row r="633">
      <c r="D633" s="33"/>
      <c r="E633" s="34"/>
      <c r="G633" s="35"/>
    </row>
    <row r="634">
      <c r="D634" s="33"/>
      <c r="E634" s="34"/>
      <c r="G634" s="35"/>
    </row>
    <row r="635">
      <c r="D635" s="33"/>
      <c r="E635" s="34"/>
      <c r="G635" s="35"/>
    </row>
    <row r="636">
      <c r="D636" s="33"/>
      <c r="E636" s="34"/>
      <c r="G636" s="35"/>
    </row>
    <row r="637">
      <c r="D637" s="33"/>
      <c r="E637" s="34"/>
      <c r="G637" s="35"/>
    </row>
    <row r="638">
      <c r="D638" s="33"/>
      <c r="E638" s="34"/>
      <c r="G638" s="35"/>
    </row>
    <row r="639">
      <c r="D639" s="33"/>
      <c r="E639" s="34"/>
      <c r="G639" s="35"/>
    </row>
    <row r="640">
      <c r="D640" s="33"/>
      <c r="E640" s="34"/>
      <c r="G640" s="35"/>
    </row>
    <row r="641">
      <c r="D641" s="33"/>
      <c r="E641" s="34"/>
      <c r="G641" s="35"/>
    </row>
    <row r="642">
      <c r="D642" s="33"/>
      <c r="E642" s="34"/>
      <c r="G642" s="35"/>
    </row>
    <row r="643">
      <c r="D643" s="33"/>
      <c r="E643" s="34"/>
      <c r="G643" s="35"/>
    </row>
    <row r="644">
      <c r="D644" s="33"/>
      <c r="E644" s="34"/>
      <c r="G644" s="35"/>
    </row>
    <row r="645">
      <c r="D645" s="33"/>
      <c r="E645" s="34"/>
      <c r="G645" s="35"/>
    </row>
    <row r="646">
      <c r="D646" s="33"/>
      <c r="E646" s="34"/>
      <c r="G646" s="35"/>
    </row>
    <row r="647">
      <c r="D647" s="33"/>
      <c r="E647" s="34"/>
      <c r="G647" s="35"/>
    </row>
    <row r="648">
      <c r="D648" s="33"/>
      <c r="E648" s="34"/>
      <c r="G648" s="35"/>
    </row>
    <row r="649">
      <c r="D649" s="33"/>
      <c r="E649" s="34"/>
      <c r="G649" s="35"/>
    </row>
    <row r="650">
      <c r="D650" s="33"/>
      <c r="E650" s="34"/>
      <c r="G650" s="35"/>
    </row>
    <row r="651">
      <c r="D651" s="33"/>
      <c r="E651" s="34"/>
      <c r="G651" s="35"/>
    </row>
    <row r="652">
      <c r="D652" s="33"/>
      <c r="E652" s="34"/>
      <c r="G652" s="35"/>
    </row>
    <row r="653">
      <c r="D653" s="33"/>
      <c r="E653" s="34"/>
      <c r="G653" s="35"/>
    </row>
    <row r="654">
      <c r="D654" s="33"/>
      <c r="E654" s="34"/>
      <c r="G654" s="35"/>
    </row>
    <row r="655">
      <c r="D655" s="33"/>
      <c r="E655" s="34"/>
      <c r="G655" s="35"/>
    </row>
    <row r="656">
      <c r="D656" s="33"/>
      <c r="E656" s="34"/>
      <c r="G656" s="35"/>
    </row>
    <row r="657">
      <c r="D657" s="33"/>
      <c r="E657" s="34"/>
      <c r="G657" s="35"/>
    </row>
    <row r="658">
      <c r="D658" s="33"/>
      <c r="E658" s="34"/>
      <c r="G658" s="35"/>
    </row>
    <row r="659">
      <c r="D659" s="33"/>
      <c r="E659" s="34"/>
      <c r="G659" s="35"/>
    </row>
    <row r="660">
      <c r="D660" s="33"/>
      <c r="E660" s="34"/>
      <c r="G660" s="35"/>
    </row>
    <row r="661">
      <c r="D661" s="33"/>
      <c r="E661" s="34"/>
      <c r="G661" s="35"/>
    </row>
    <row r="662">
      <c r="D662" s="33"/>
      <c r="E662" s="34"/>
      <c r="G662" s="35"/>
    </row>
    <row r="663">
      <c r="D663" s="33"/>
      <c r="E663" s="34"/>
      <c r="G663" s="35"/>
    </row>
    <row r="664">
      <c r="D664" s="33"/>
      <c r="E664" s="34"/>
      <c r="G664" s="35"/>
    </row>
    <row r="665">
      <c r="D665" s="33"/>
      <c r="E665" s="34"/>
      <c r="G665" s="35"/>
    </row>
    <row r="666">
      <c r="D666" s="33"/>
      <c r="E666" s="34"/>
      <c r="G666" s="35"/>
    </row>
    <row r="667">
      <c r="D667" s="33"/>
      <c r="E667" s="34"/>
      <c r="G667" s="35"/>
    </row>
    <row r="668">
      <c r="D668" s="33"/>
      <c r="E668" s="34"/>
      <c r="G668" s="35"/>
    </row>
    <row r="669">
      <c r="D669" s="33"/>
      <c r="E669" s="34"/>
      <c r="G669" s="35"/>
    </row>
    <row r="670">
      <c r="D670" s="33"/>
      <c r="E670" s="34"/>
      <c r="G670" s="35"/>
    </row>
    <row r="671">
      <c r="D671" s="33"/>
      <c r="E671" s="34"/>
      <c r="G671" s="35"/>
    </row>
    <row r="672">
      <c r="D672" s="33"/>
      <c r="E672" s="34"/>
      <c r="G672" s="35"/>
    </row>
    <row r="673">
      <c r="D673" s="33"/>
      <c r="E673" s="34"/>
      <c r="G673" s="35"/>
    </row>
    <row r="674">
      <c r="D674" s="33"/>
      <c r="E674" s="34"/>
      <c r="G674" s="35"/>
    </row>
    <row r="675">
      <c r="D675" s="33"/>
      <c r="E675" s="34"/>
      <c r="G675" s="35"/>
    </row>
    <row r="676">
      <c r="D676" s="33"/>
      <c r="E676" s="34"/>
      <c r="G676" s="35"/>
    </row>
    <row r="677">
      <c r="D677" s="33"/>
      <c r="E677" s="34"/>
      <c r="G677" s="35"/>
    </row>
    <row r="678">
      <c r="D678" s="33"/>
      <c r="E678" s="34"/>
      <c r="G678" s="35"/>
    </row>
    <row r="679">
      <c r="D679" s="33"/>
      <c r="E679" s="34"/>
      <c r="G679" s="35"/>
    </row>
    <row r="680">
      <c r="D680" s="33"/>
      <c r="E680" s="34"/>
      <c r="G680" s="35"/>
    </row>
    <row r="681">
      <c r="D681" s="33"/>
      <c r="E681" s="34"/>
      <c r="G681" s="35"/>
    </row>
    <row r="682">
      <c r="D682" s="33"/>
      <c r="E682" s="34"/>
      <c r="G682" s="35"/>
    </row>
    <row r="683">
      <c r="D683" s="33"/>
      <c r="E683" s="34"/>
      <c r="G683" s="35"/>
    </row>
    <row r="684">
      <c r="D684" s="33"/>
      <c r="E684" s="34"/>
      <c r="G684" s="35"/>
    </row>
    <row r="685">
      <c r="D685" s="33"/>
      <c r="E685" s="34"/>
      <c r="G685" s="35"/>
    </row>
    <row r="686">
      <c r="D686" s="33"/>
      <c r="E686" s="34"/>
      <c r="G686" s="35"/>
    </row>
    <row r="687">
      <c r="D687" s="33"/>
      <c r="E687" s="34"/>
      <c r="G687" s="35"/>
    </row>
    <row r="688">
      <c r="D688" s="33"/>
      <c r="E688" s="34"/>
      <c r="G688" s="35"/>
    </row>
    <row r="689">
      <c r="D689" s="33"/>
      <c r="E689" s="34"/>
      <c r="G689" s="35"/>
    </row>
    <row r="690">
      <c r="D690" s="33"/>
      <c r="E690" s="34"/>
      <c r="G690" s="35"/>
    </row>
    <row r="691">
      <c r="D691" s="33"/>
      <c r="E691" s="34"/>
      <c r="G691" s="35"/>
    </row>
    <row r="692">
      <c r="D692" s="33"/>
      <c r="E692" s="34"/>
      <c r="G692" s="35"/>
    </row>
    <row r="693">
      <c r="D693" s="33"/>
      <c r="E693" s="34"/>
      <c r="G693" s="35"/>
    </row>
    <row r="694">
      <c r="D694" s="33"/>
      <c r="E694" s="34"/>
      <c r="G694" s="35"/>
    </row>
    <row r="695">
      <c r="D695" s="33"/>
      <c r="E695" s="34"/>
      <c r="G695" s="35"/>
    </row>
    <row r="696">
      <c r="D696" s="33"/>
      <c r="E696" s="34"/>
      <c r="G696" s="35"/>
    </row>
    <row r="697">
      <c r="D697" s="33"/>
      <c r="E697" s="34"/>
      <c r="G697" s="35"/>
    </row>
    <row r="698">
      <c r="D698" s="33"/>
      <c r="E698" s="34"/>
      <c r="G698" s="35"/>
    </row>
    <row r="699">
      <c r="D699" s="33"/>
      <c r="E699" s="34"/>
      <c r="G699" s="35"/>
    </row>
    <row r="700">
      <c r="D700" s="33"/>
      <c r="E700" s="34"/>
      <c r="G700" s="35"/>
    </row>
    <row r="701">
      <c r="D701" s="33"/>
      <c r="E701" s="34"/>
      <c r="G701" s="35"/>
    </row>
    <row r="702">
      <c r="D702" s="33"/>
      <c r="E702" s="34"/>
      <c r="G702" s="35"/>
    </row>
    <row r="703">
      <c r="D703" s="33"/>
      <c r="E703" s="34"/>
      <c r="G703" s="35"/>
    </row>
    <row r="704">
      <c r="D704" s="33"/>
      <c r="E704" s="34"/>
      <c r="G704" s="35"/>
    </row>
    <row r="705">
      <c r="D705" s="33"/>
      <c r="E705" s="34"/>
      <c r="G705" s="35"/>
    </row>
    <row r="706">
      <c r="D706" s="33"/>
      <c r="E706" s="34"/>
      <c r="G706" s="35"/>
    </row>
    <row r="707">
      <c r="D707" s="33"/>
      <c r="E707" s="34"/>
      <c r="G707" s="35"/>
    </row>
    <row r="708">
      <c r="D708" s="33"/>
      <c r="E708" s="34"/>
      <c r="G708" s="35"/>
    </row>
    <row r="709">
      <c r="D709" s="33"/>
      <c r="E709" s="34"/>
      <c r="G709" s="35"/>
    </row>
    <row r="710">
      <c r="D710" s="33"/>
      <c r="E710" s="34"/>
      <c r="G710" s="35"/>
    </row>
    <row r="711">
      <c r="D711" s="33"/>
      <c r="E711" s="34"/>
      <c r="G711" s="35"/>
    </row>
    <row r="712">
      <c r="D712" s="33"/>
      <c r="E712" s="34"/>
      <c r="G712" s="35"/>
    </row>
    <row r="713">
      <c r="D713" s="33"/>
      <c r="E713" s="34"/>
      <c r="G713" s="35"/>
    </row>
    <row r="714">
      <c r="D714" s="33"/>
      <c r="E714" s="34"/>
      <c r="G714" s="35"/>
    </row>
    <row r="715">
      <c r="D715" s="33"/>
      <c r="E715" s="34"/>
      <c r="G715" s="35"/>
    </row>
    <row r="716">
      <c r="D716" s="33"/>
      <c r="E716" s="34"/>
      <c r="G716" s="35"/>
    </row>
    <row r="717">
      <c r="D717" s="33"/>
      <c r="E717" s="34"/>
      <c r="G717" s="35"/>
    </row>
    <row r="718">
      <c r="D718" s="33"/>
      <c r="E718" s="34"/>
      <c r="G718" s="35"/>
    </row>
    <row r="719">
      <c r="D719" s="33"/>
      <c r="E719" s="34"/>
      <c r="G719" s="35"/>
    </row>
    <row r="720">
      <c r="D720" s="33"/>
      <c r="E720" s="34"/>
      <c r="G720" s="35"/>
    </row>
    <row r="721">
      <c r="D721" s="33"/>
      <c r="E721" s="34"/>
      <c r="G721" s="35"/>
    </row>
    <row r="722">
      <c r="D722" s="33"/>
      <c r="E722" s="34"/>
      <c r="G722" s="35"/>
    </row>
    <row r="723">
      <c r="D723" s="33"/>
      <c r="E723" s="34"/>
      <c r="G723" s="35"/>
    </row>
    <row r="724">
      <c r="D724" s="33"/>
      <c r="E724" s="34"/>
      <c r="G724" s="35"/>
    </row>
    <row r="725">
      <c r="D725" s="33"/>
      <c r="E725" s="34"/>
      <c r="G725" s="35"/>
    </row>
    <row r="726">
      <c r="D726" s="33"/>
      <c r="E726" s="34"/>
      <c r="G726" s="35"/>
    </row>
    <row r="727">
      <c r="D727" s="33"/>
      <c r="E727" s="34"/>
      <c r="G727" s="35"/>
    </row>
    <row r="728">
      <c r="D728" s="33"/>
      <c r="E728" s="34"/>
      <c r="G728" s="35"/>
    </row>
    <row r="729">
      <c r="D729" s="33"/>
      <c r="E729" s="34"/>
      <c r="G729" s="35"/>
    </row>
    <row r="730">
      <c r="D730" s="33"/>
      <c r="E730" s="34"/>
      <c r="G730" s="35"/>
    </row>
    <row r="731">
      <c r="D731" s="33"/>
      <c r="E731" s="34"/>
      <c r="G731" s="35"/>
    </row>
    <row r="732">
      <c r="D732" s="33"/>
      <c r="E732" s="34"/>
      <c r="G732" s="35"/>
    </row>
    <row r="733">
      <c r="D733" s="33"/>
      <c r="E733" s="34"/>
      <c r="G733" s="35"/>
    </row>
    <row r="734">
      <c r="D734" s="33"/>
      <c r="E734" s="34"/>
      <c r="G734" s="35"/>
    </row>
    <row r="735">
      <c r="D735" s="33"/>
      <c r="E735" s="34"/>
      <c r="G735" s="35"/>
    </row>
    <row r="736">
      <c r="D736" s="33"/>
      <c r="E736" s="34"/>
      <c r="G736" s="35"/>
    </row>
    <row r="737">
      <c r="D737" s="33"/>
      <c r="E737" s="34"/>
      <c r="G737" s="35"/>
    </row>
    <row r="738">
      <c r="D738" s="33"/>
      <c r="E738" s="34"/>
      <c r="G738" s="35"/>
    </row>
    <row r="739">
      <c r="D739" s="33"/>
      <c r="E739" s="34"/>
      <c r="G739" s="35"/>
    </row>
    <row r="740">
      <c r="D740" s="33"/>
      <c r="E740" s="34"/>
      <c r="G740" s="35"/>
    </row>
    <row r="741">
      <c r="D741" s="33"/>
      <c r="E741" s="34"/>
      <c r="G741" s="35"/>
    </row>
    <row r="742">
      <c r="D742" s="33"/>
      <c r="E742" s="34"/>
      <c r="G742" s="35"/>
    </row>
    <row r="743">
      <c r="D743" s="33"/>
      <c r="E743" s="34"/>
      <c r="G743" s="35"/>
    </row>
    <row r="744">
      <c r="D744" s="33"/>
      <c r="E744" s="34"/>
      <c r="G744" s="35"/>
    </row>
    <row r="745">
      <c r="D745" s="33"/>
      <c r="E745" s="34"/>
      <c r="G745" s="35"/>
    </row>
    <row r="746">
      <c r="D746" s="33"/>
      <c r="E746" s="34"/>
      <c r="G746" s="35"/>
    </row>
    <row r="747">
      <c r="D747" s="33"/>
      <c r="E747" s="34"/>
      <c r="G747" s="35"/>
    </row>
    <row r="748">
      <c r="D748" s="33"/>
      <c r="E748" s="34"/>
      <c r="G748" s="35"/>
    </row>
    <row r="749">
      <c r="D749" s="33"/>
      <c r="E749" s="34"/>
      <c r="G749" s="35"/>
    </row>
    <row r="750">
      <c r="D750" s="33"/>
      <c r="E750" s="34"/>
      <c r="G750" s="35"/>
    </row>
    <row r="751">
      <c r="D751" s="33"/>
      <c r="E751" s="34"/>
      <c r="G751" s="35"/>
    </row>
    <row r="752">
      <c r="D752" s="33"/>
      <c r="E752" s="34"/>
      <c r="G752" s="35"/>
    </row>
    <row r="753">
      <c r="D753" s="33"/>
      <c r="E753" s="34"/>
      <c r="G753" s="35"/>
    </row>
    <row r="754">
      <c r="D754" s="33"/>
      <c r="E754" s="34"/>
      <c r="G754" s="35"/>
    </row>
    <row r="755">
      <c r="D755" s="33"/>
      <c r="E755" s="34"/>
      <c r="G755" s="35"/>
    </row>
    <row r="756">
      <c r="D756" s="33"/>
      <c r="E756" s="34"/>
      <c r="G756" s="35"/>
    </row>
    <row r="757">
      <c r="D757" s="33"/>
      <c r="E757" s="34"/>
      <c r="G757" s="35"/>
    </row>
    <row r="758">
      <c r="D758" s="33"/>
      <c r="E758" s="34"/>
      <c r="G758" s="35"/>
    </row>
    <row r="759">
      <c r="D759" s="33"/>
      <c r="E759" s="34"/>
      <c r="G759" s="35"/>
    </row>
    <row r="760">
      <c r="D760" s="33"/>
      <c r="E760" s="34"/>
      <c r="G760" s="35"/>
    </row>
    <row r="761">
      <c r="D761" s="33"/>
      <c r="E761" s="34"/>
      <c r="G761" s="35"/>
    </row>
    <row r="762">
      <c r="D762" s="33"/>
      <c r="E762" s="34"/>
      <c r="G762" s="35"/>
    </row>
    <row r="763">
      <c r="D763" s="33"/>
      <c r="E763" s="34"/>
      <c r="G763" s="35"/>
    </row>
    <row r="764">
      <c r="D764" s="33"/>
      <c r="E764" s="34"/>
      <c r="G764" s="35"/>
    </row>
    <row r="765">
      <c r="D765" s="33"/>
      <c r="E765" s="34"/>
      <c r="G765" s="35"/>
    </row>
    <row r="766">
      <c r="D766" s="33"/>
      <c r="E766" s="34"/>
      <c r="G766" s="35"/>
    </row>
    <row r="767">
      <c r="D767" s="33"/>
      <c r="E767" s="34"/>
      <c r="G767" s="35"/>
    </row>
    <row r="768">
      <c r="D768" s="33"/>
      <c r="E768" s="34"/>
      <c r="G768" s="35"/>
    </row>
    <row r="769">
      <c r="D769" s="33"/>
      <c r="E769" s="34"/>
      <c r="G769" s="35"/>
    </row>
    <row r="770">
      <c r="D770" s="33"/>
      <c r="E770" s="34"/>
      <c r="G770" s="35"/>
    </row>
    <row r="771">
      <c r="D771" s="33"/>
      <c r="E771" s="34"/>
      <c r="G771" s="35"/>
    </row>
    <row r="772">
      <c r="D772" s="33"/>
      <c r="E772" s="34"/>
      <c r="G772" s="35"/>
    </row>
    <row r="773">
      <c r="D773" s="33"/>
      <c r="E773" s="34"/>
      <c r="G773" s="35"/>
    </row>
    <row r="774">
      <c r="D774" s="33"/>
      <c r="E774" s="34"/>
      <c r="G774" s="35"/>
    </row>
    <row r="775">
      <c r="D775" s="33"/>
      <c r="E775" s="34"/>
      <c r="G775" s="35"/>
    </row>
    <row r="776">
      <c r="D776" s="33"/>
      <c r="E776" s="34"/>
      <c r="G776" s="35"/>
    </row>
    <row r="777">
      <c r="D777" s="33"/>
      <c r="E777" s="34"/>
      <c r="G777" s="35"/>
    </row>
    <row r="778">
      <c r="D778" s="33"/>
      <c r="E778" s="34"/>
      <c r="G778" s="35"/>
    </row>
    <row r="779">
      <c r="D779" s="33"/>
      <c r="E779" s="34"/>
      <c r="G779" s="35"/>
    </row>
    <row r="780">
      <c r="D780" s="33"/>
      <c r="E780" s="34"/>
      <c r="G780" s="35"/>
    </row>
    <row r="781">
      <c r="D781" s="33"/>
      <c r="E781" s="34"/>
      <c r="G781" s="35"/>
    </row>
    <row r="782">
      <c r="D782" s="33"/>
      <c r="E782" s="34"/>
      <c r="G782" s="35"/>
    </row>
    <row r="783">
      <c r="D783" s="33"/>
      <c r="E783" s="34"/>
      <c r="G783" s="35"/>
    </row>
    <row r="784">
      <c r="D784" s="33"/>
      <c r="E784" s="34"/>
      <c r="G784" s="35"/>
    </row>
    <row r="785">
      <c r="D785" s="33"/>
      <c r="E785" s="34"/>
      <c r="G785" s="35"/>
    </row>
    <row r="786">
      <c r="D786" s="33"/>
      <c r="E786" s="34"/>
      <c r="G786" s="35"/>
    </row>
    <row r="787">
      <c r="D787" s="33"/>
      <c r="E787" s="34"/>
      <c r="G787" s="35"/>
    </row>
    <row r="788">
      <c r="D788" s="33"/>
      <c r="E788" s="34"/>
      <c r="G788" s="35"/>
    </row>
    <row r="789">
      <c r="D789" s="33"/>
      <c r="E789" s="34"/>
      <c r="G789" s="35"/>
    </row>
    <row r="790">
      <c r="D790" s="33"/>
      <c r="E790" s="34"/>
      <c r="G790" s="35"/>
    </row>
    <row r="791">
      <c r="D791" s="33"/>
      <c r="E791" s="34"/>
      <c r="G791" s="35"/>
    </row>
    <row r="792">
      <c r="D792" s="33"/>
      <c r="E792" s="34"/>
      <c r="G792" s="35"/>
    </row>
    <row r="793">
      <c r="D793" s="33"/>
      <c r="E793" s="34"/>
      <c r="G793" s="35"/>
    </row>
    <row r="794">
      <c r="D794" s="33"/>
      <c r="E794" s="34"/>
      <c r="G794" s="35"/>
    </row>
    <row r="795">
      <c r="D795" s="33"/>
      <c r="E795" s="34"/>
      <c r="G795" s="35"/>
    </row>
    <row r="796">
      <c r="D796" s="33"/>
      <c r="E796" s="34"/>
      <c r="G796" s="35"/>
    </row>
    <row r="797">
      <c r="D797" s="33"/>
      <c r="E797" s="34"/>
      <c r="G797" s="35"/>
    </row>
    <row r="798">
      <c r="D798" s="33"/>
      <c r="E798" s="34"/>
      <c r="G798" s="35"/>
    </row>
    <row r="799">
      <c r="D799" s="33"/>
      <c r="E799" s="34"/>
      <c r="G799" s="35"/>
    </row>
    <row r="800">
      <c r="D800" s="33"/>
      <c r="E800" s="34"/>
      <c r="G800" s="35"/>
    </row>
    <row r="801">
      <c r="D801" s="33"/>
      <c r="E801" s="34"/>
      <c r="G801" s="35"/>
    </row>
    <row r="802">
      <c r="D802" s="33"/>
      <c r="E802" s="34"/>
      <c r="G802" s="35"/>
    </row>
    <row r="803">
      <c r="D803" s="33"/>
      <c r="E803" s="34"/>
      <c r="G803" s="35"/>
    </row>
    <row r="804">
      <c r="D804" s="33"/>
      <c r="E804" s="34"/>
      <c r="G804" s="35"/>
    </row>
    <row r="805">
      <c r="D805" s="33"/>
      <c r="E805" s="34"/>
      <c r="G805" s="35"/>
    </row>
    <row r="806">
      <c r="D806" s="33"/>
      <c r="E806" s="34"/>
      <c r="G806" s="35"/>
    </row>
    <row r="807">
      <c r="D807" s="33"/>
      <c r="E807" s="34"/>
      <c r="G807" s="35"/>
    </row>
    <row r="808">
      <c r="D808" s="33"/>
      <c r="E808" s="34"/>
      <c r="G808" s="35"/>
    </row>
    <row r="809">
      <c r="D809" s="33"/>
      <c r="E809" s="34"/>
      <c r="G809" s="35"/>
    </row>
    <row r="810">
      <c r="D810" s="33"/>
      <c r="E810" s="34"/>
      <c r="G810" s="35"/>
    </row>
    <row r="811">
      <c r="D811" s="33"/>
      <c r="E811" s="34"/>
      <c r="G811" s="35"/>
    </row>
    <row r="812">
      <c r="D812" s="33"/>
      <c r="E812" s="34"/>
      <c r="G812" s="35"/>
    </row>
    <row r="813">
      <c r="D813" s="33"/>
      <c r="E813" s="34"/>
      <c r="G813" s="35"/>
    </row>
    <row r="814">
      <c r="D814" s="33"/>
      <c r="E814" s="34"/>
      <c r="G814" s="35"/>
    </row>
    <row r="815">
      <c r="D815" s="33"/>
      <c r="E815" s="34"/>
      <c r="G815" s="35"/>
    </row>
    <row r="816">
      <c r="D816" s="33"/>
      <c r="E816" s="34"/>
      <c r="G816" s="35"/>
    </row>
    <row r="817">
      <c r="D817" s="33"/>
      <c r="E817" s="34"/>
      <c r="G817" s="35"/>
    </row>
    <row r="818">
      <c r="D818" s="33"/>
      <c r="E818" s="34"/>
      <c r="G818" s="35"/>
    </row>
    <row r="819">
      <c r="D819" s="33"/>
      <c r="E819" s="34"/>
      <c r="G819" s="35"/>
    </row>
    <row r="820">
      <c r="D820" s="33"/>
      <c r="E820" s="34"/>
      <c r="G820" s="35"/>
    </row>
    <row r="821">
      <c r="D821" s="33"/>
      <c r="E821" s="34"/>
      <c r="G821" s="35"/>
    </row>
    <row r="822">
      <c r="D822" s="33"/>
      <c r="E822" s="34"/>
      <c r="G822" s="35"/>
    </row>
    <row r="823">
      <c r="D823" s="33"/>
      <c r="E823" s="34"/>
      <c r="G823" s="35"/>
    </row>
    <row r="824">
      <c r="D824" s="33"/>
      <c r="E824" s="34"/>
      <c r="G824" s="35"/>
    </row>
    <row r="825">
      <c r="D825" s="33"/>
      <c r="E825" s="34"/>
      <c r="G825" s="35"/>
    </row>
    <row r="826">
      <c r="D826" s="33"/>
      <c r="E826" s="34"/>
      <c r="G826" s="35"/>
    </row>
    <row r="827">
      <c r="D827" s="33"/>
      <c r="E827" s="34"/>
      <c r="G827" s="35"/>
    </row>
    <row r="828">
      <c r="D828" s="33"/>
      <c r="E828" s="34"/>
      <c r="G828" s="35"/>
    </row>
    <row r="829">
      <c r="D829" s="33"/>
      <c r="E829" s="34"/>
      <c r="G829" s="35"/>
    </row>
    <row r="830">
      <c r="D830" s="33"/>
      <c r="E830" s="34"/>
      <c r="G830" s="35"/>
    </row>
    <row r="831">
      <c r="D831" s="33"/>
      <c r="E831" s="34"/>
      <c r="G831" s="35"/>
    </row>
    <row r="832">
      <c r="D832" s="33"/>
      <c r="E832" s="34"/>
      <c r="G832" s="35"/>
    </row>
    <row r="833">
      <c r="D833" s="33"/>
      <c r="E833" s="34"/>
      <c r="G833" s="35"/>
    </row>
    <row r="834">
      <c r="D834" s="33"/>
      <c r="E834" s="34"/>
      <c r="G834" s="35"/>
    </row>
    <row r="835">
      <c r="D835" s="33"/>
      <c r="E835" s="34"/>
      <c r="G835" s="35"/>
    </row>
    <row r="836">
      <c r="D836" s="33"/>
      <c r="E836" s="34"/>
      <c r="G836" s="35"/>
    </row>
    <row r="837">
      <c r="D837" s="33"/>
      <c r="E837" s="34"/>
      <c r="G837" s="35"/>
    </row>
    <row r="838">
      <c r="D838" s="33"/>
      <c r="E838" s="34"/>
      <c r="G838" s="35"/>
    </row>
    <row r="839">
      <c r="D839" s="33"/>
      <c r="E839" s="34"/>
      <c r="G839" s="35"/>
    </row>
    <row r="840">
      <c r="D840" s="33"/>
      <c r="E840" s="34"/>
      <c r="G840" s="35"/>
    </row>
    <row r="841">
      <c r="D841" s="33"/>
      <c r="E841" s="34"/>
      <c r="G841" s="35"/>
    </row>
    <row r="842">
      <c r="D842" s="33"/>
      <c r="E842" s="34"/>
      <c r="G842" s="35"/>
    </row>
    <row r="843">
      <c r="D843" s="33"/>
      <c r="E843" s="34"/>
      <c r="G843" s="35"/>
    </row>
    <row r="844">
      <c r="D844" s="33"/>
      <c r="E844" s="34"/>
      <c r="G844" s="35"/>
    </row>
    <row r="845">
      <c r="D845" s="33"/>
      <c r="E845" s="34"/>
      <c r="G845" s="35"/>
    </row>
    <row r="846">
      <c r="D846" s="33"/>
      <c r="E846" s="34"/>
      <c r="G846" s="35"/>
    </row>
    <row r="847">
      <c r="D847" s="33"/>
      <c r="E847" s="34"/>
      <c r="G847" s="35"/>
    </row>
    <row r="848">
      <c r="D848" s="33"/>
      <c r="E848" s="34"/>
      <c r="G848" s="35"/>
    </row>
    <row r="849">
      <c r="D849" s="33"/>
      <c r="E849" s="34"/>
      <c r="G849" s="35"/>
    </row>
    <row r="850">
      <c r="D850" s="33"/>
      <c r="E850" s="34"/>
      <c r="G850" s="35"/>
    </row>
    <row r="851">
      <c r="D851" s="33"/>
      <c r="E851" s="34"/>
      <c r="G851" s="35"/>
    </row>
    <row r="852">
      <c r="D852" s="33"/>
      <c r="E852" s="34"/>
      <c r="G852" s="35"/>
    </row>
    <row r="853">
      <c r="D853" s="33"/>
      <c r="E853" s="34"/>
      <c r="G853" s="35"/>
    </row>
    <row r="854">
      <c r="D854" s="33"/>
      <c r="E854" s="34"/>
      <c r="G854" s="35"/>
    </row>
    <row r="855">
      <c r="D855" s="33"/>
      <c r="E855" s="34"/>
      <c r="G855" s="35"/>
    </row>
    <row r="856">
      <c r="D856" s="33"/>
      <c r="E856" s="34"/>
      <c r="G856" s="35"/>
    </row>
    <row r="857">
      <c r="D857" s="33"/>
      <c r="E857" s="34"/>
      <c r="G857" s="35"/>
    </row>
    <row r="858">
      <c r="D858" s="33"/>
      <c r="E858" s="34"/>
      <c r="G858" s="35"/>
    </row>
    <row r="859">
      <c r="D859" s="33"/>
      <c r="E859" s="34"/>
      <c r="G859" s="35"/>
    </row>
    <row r="860">
      <c r="D860" s="33"/>
      <c r="E860" s="34"/>
      <c r="G860" s="35"/>
    </row>
    <row r="861">
      <c r="D861" s="33"/>
      <c r="E861" s="34"/>
      <c r="G861" s="35"/>
    </row>
    <row r="862">
      <c r="D862" s="33"/>
      <c r="E862" s="34"/>
      <c r="G862" s="35"/>
    </row>
    <row r="863">
      <c r="D863" s="33"/>
      <c r="E863" s="34"/>
      <c r="G863" s="35"/>
    </row>
    <row r="864">
      <c r="D864" s="33"/>
      <c r="E864" s="34"/>
      <c r="G864" s="35"/>
    </row>
    <row r="865">
      <c r="D865" s="33"/>
      <c r="E865" s="34"/>
      <c r="G865" s="35"/>
    </row>
    <row r="866">
      <c r="D866" s="33"/>
      <c r="E866" s="34"/>
      <c r="G866" s="35"/>
    </row>
    <row r="867">
      <c r="D867" s="33"/>
      <c r="E867" s="34"/>
      <c r="G867" s="35"/>
    </row>
    <row r="868">
      <c r="D868" s="33"/>
      <c r="E868" s="34"/>
      <c r="G868" s="35"/>
    </row>
    <row r="869">
      <c r="D869" s="33"/>
      <c r="E869" s="34"/>
      <c r="G869" s="35"/>
    </row>
    <row r="870">
      <c r="D870" s="33"/>
      <c r="E870" s="34"/>
      <c r="G870" s="35"/>
    </row>
    <row r="871">
      <c r="D871" s="33"/>
      <c r="E871" s="34"/>
      <c r="G871" s="35"/>
    </row>
    <row r="872">
      <c r="D872" s="33"/>
      <c r="E872" s="34"/>
      <c r="G872" s="35"/>
    </row>
    <row r="873">
      <c r="D873" s="33"/>
      <c r="E873" s="34"/>
      <c r="G873" s="35"/>
    </row>
    <row r="874">
      <c r="D874" s="33"/>
      <c r="E874" s="34"/>
      <c r="G874" s="35"/>
    </row>
    <row r="875">
      <c r="D875" s="33"/>
      <c r="E875" s="34"/>
      <c r="G875" s="35"/>
    </row>
    <row r="876">
      <c r="D876" s="33"/>
      <c r="E876" s="34"/>
      <c r="G876" s="35"/>
    </row>
    <row r="877">
      <c r="D877" s="33"/>
      <c r="E877" s="34"/>
      <c r="G877" s="35"/>
    </row>
    <row r="878">
      <c r="D878" s="33"/>
      <c r="E878" s="34"/>
      <c r="G878" s="35"/>
    </row>
    <row r="879">
      <c r="D879" s="33"/>
      <c r="E879" s="34"/>
      <c r="G879" s="35"/>
    </row>
    <row r="880">
      <c r="D880" s="33"/>
      <c r="E880" s="34"/>
      <c r="G880" s="35"/>
    </row>
    <row r="881">
      <c r="D881" s="33"/>
      <c r="E881" s="34"/>
      <c r="G881" s="35"/>
    </row>
    <row r="882">
      <c r="D882" s="33"/>
      <c r="E882" s="34"/>
      <c r="G882" s="35"/>
    </row>
    <row r="883">
      <c r="D883" s="33"/>
      <c r="E883" s="34"/>
      <c r="G883" s="35"/>
    </row>
    <row r="884">
      <c r="D884" s="33"/>
      <c r="E884" s="34"/>
      <c r="G884" s="35"/>
    </row>
    <row r="885">
      <c r="D885" s="33"/>
      <c r="E885" s="34"/>
      <c r="G885" s="35"/>
    </row>
    <row r="886">
      <c r="D886" s="33"/>
      <c r="E886" s="34"/>
      <c r="G886" s="35"/>
    </row>
    <row r="887">
      <c r="D887" s="33"/>
      <c r="E887" s="34"/>
      <c r="G887" s="35"/>
    </row>
    <row r="888">
      <c r="D888" s="33"/>
      <c r="E888" s="34"/>
      <c r="G888" s="35"/>
    </row>
    <row r="889">
      <c r="D889" s="33"/>
      <c r="E889" s="34"/>
      <c r="G889" s="35"/>
    </row>
    <row r="890">
      <c r="D890" s="33"/>
      <c r="E890" s="34"/>
      <c r="G890" s="35"/>
    </row>
    <row r="891">
      <c r="D891" s="33"/>
      <c r="E891" s="34"/>
      <c r="G891" s="35"/>
    </row>
    <row r="892">
      <c r="D892" s="33"/>
      <c r="E892" s="34"/>
      <c r="G892" s="35"/>
    </row>
    <row r="893">
      <c r="D893" s="33"/>
      <c r="E893" s="34"/>
      <c r="G893" s="35"/>
    </row>
    <row r="894">
      <c r="D894" s="33"/>
      <c r="E894" s="34"/>
      <c r="G894" s="35"/>
    </row>
    <row r="895">
      <c r="D895" s="33"/>
      <c r="E895" s="34"/>
      <c r="G895" s="35"/>
    </row>
    <row r="896">
      <c r="D896" s="33"/>
      <c r="E896" s="34"/>
      <c r="G896" s="35"/>
    </row>
    <row r="897">
      <c r="D897" s="33"/>
      <c r="E897" s="34"/>
      <c r="G897" s="35"/>
    </row>
    <row r="898">
      <c r="D898" s="33"/>
      <c r="E898" s="34"/>
      <c r="G898" s="35"/>
    </row>
    <row r="899">
      <c r="D899" s="33"/>
      <c r="E899" s="34"/>
      <c r="G899" s="35"/>
    </row>
    <row r="900">
      <c r="D900" s="33"/>
      <c r="E900" s="34"/>
      <c r="G900" s="35"/>
    </row>
    <row r="901">
      <c r="D901" s="33"/>
      <c r="E901" s="34"/>
      <c r="G901" s="35"/>
    </row>
    <row r="902">
      <c r="D902" s="33"/>
      <c r="E902" s="34"/>
      <c r="G902" s="35"/>
    </row>
    <row r="903">
      <c r="D903" s="33"/>
      <c r="E903" s="34"/>
      <c r="G903" s="35"/>
    </row>
    <row r="904">
      <c r="D904" s="33"/>
      <c r="E904" s="34"/>
      <c r="G904" s="35"/>
    </row>
    <row r="905">
      <c r="D905" s="33"/>
      <c r="E905" s="34"/>
      <c r="G905" s="35"/>
    </row>
    <row r="906">
      <c r="D906" s="33"/>
      <c r="E906" s="34"/>
      <c r="G906" s="35"/>
    </row>
    <row r="907">
      <c r="D907" s="33"/>
      <c r="E907" s="34"/>
      <c r="G907" s="35"/>
    </row>
    <row r="908">
      <c r="D908" s="33"/>
      <c r="E908" s="34"/>
      <c r="G908" s="35"/>
    </row>
    <row r="909">
      <c r="D909" s="33"/>
      <c r="E909" s="34"/>
      <c r="G909" s="35"/>
    </row>
    <row r="910">
      <c r="D910" s="33"/>
      <c r="E910" s="34"/>
      <c r="G910" s="35"/>
    </row>
    <row r="911">
      <c r="D911" s="33"/>
      <c r="E911" s="34"/>
      <c r="G911" s="35"/>
    </row>
    <row r="912">
      <c r="D912" s="33"/>
      <c r="E912" s="34"/>
      <c r="G912" s="35"/>
    </row>
    <row r="913">
      <c r="D913" s="33"/>
      <c r="E913" s="34"/>
      <c r="G913" s="35"/>
    </row>
    <row r="914">
      <c r="D914" s="33"/>
      <c r="E914" s="34"/>
      <c r="G914" s="35"/>
    </row>
    <row r="915">
      <c r="D915" s="33"/>
      <c r="E915" s="34"/>
      <c r="G915" s="35"/>
    </row>
    <row r="916">
      <c r="D916" s="33"/>
      <c r="E916" s="34"/>
      <c r="G916" s="35"/>
    </row>
    <row r="917">
      <c r="D917" s="33"/>
      <c r="E917" s="34"/>
      <c r="G917" s="35"/>
    </row>
    <row r="918">
      <c r="D918" s="33"/>
      <c r="E918" s="34"/>
      <c r="G918" s="35"/>
    </row>
    <row r="919">
      <c r="D919" s="33"/>
      <c r="E919" s="34"/>
      <c r="G919" s="35"/>
    </row>
    <row r="920">
      <c r="D920" s="33"/>
      <c r="E920" s="34"/>
      <c r="G920" s="35"/>
    </row>
    <row r="921">
      <c r="D921" s="33"/>
      <c r="E921" s="34"/>
      <c r="G921" s="35"/>
    </row>
    <row r="922">
      <c r="D922" s="33"/>
      <c r="E922" s="34"/>
      <c r="G922" s="35"/>
    </row>
    <row r="923">
      <c r="D923" s="33"/>
      <c r="E923" s="34"/>
      <c r="G923" s="35"/>
    </row>
    <row r="924">
      <c r="D924" s="33"/>
      <c r="E924" s="34"/>
      <c r="G924" s="35"/>
    </row>
    <row r="925">
      <c r="D925" s="33"/>
      <c r="E925" s="34"/>
      <c r="G925" s="35"/>
    </row>
    <row r="926">
      <c r="D926" s="33"/>
      <c r="E926" s="34"/>
      <c r="G926" s="35"/>
    </row>
    <row r="927">
      <c r="D927" s="33"/>
      <c r="E927" s="34"/>
      <c r="G927" s="35"/>
    </row>
    <row r="928">
      <c r="D928" s="33"/>
      <c r="E928" s="34"/>
      <c r="G928" s="35"/>
    </row>
    <row r="929">
      <c r="D929" s="33"/>
      <c r="E929" s="34"/>
      <c r="G929" s="35"/>
    </row>
    <row r="930">
      <c r="D930" s="33"/>
      <c r="E930" s="34"/>
      <c r="G930" s="35"/>
    </row>
    <row r="931">
      <c r="D931" s="33"/>
      <c r="E931" s="34"/>
      <c r="G931" s="35"/>
    </row>
    <row r="932">
      <c r="D932" s="33"/>
      <c r="E932" s="34"/>
      <c r="G932" s="35"/>
    </row>
    <row r="933">
      <c r="D933" s="33"/>
      <c r="E933" s="34"/>
      <c r="G933" s="35"/>
    </row>
    <row r="934">
      <c r="D934" s="33"/>
      <c r="E934" s="34"/>
      <c r="G934" s="35"/>
    </row>
    <row r="935">
      <c r="D935" s="33"/>
      <c r="E935" s="34"/>
      <c r="G935" s="35"/>
    </row>
    <row r="936">
      <c r="D936" s="33"/>
      <c r="E936" s="34"/>
      <c r="G936" s="35"/>
    </row>
    <row r="937">
      <c r="D937" s="33"/>
      <c r="E937" s="34"/>
      <c r="G937" s="35"/>
    </row>
    <row r="938">
      <c r="D938" s="33"/>
      <c r="E938" s="34"/>
      <c r="G938" s="35"/>
    </row>
    <row r="939">
      <c r="D939" s="33"/>
      <c r="E939" s="34"/>
      <c r="G939" s="35"/>
    </row>
    <row r="940">
      <c r="D940" s="33"/>
      <c r="E940" s="34"/>
      <c r="G940" s="35"/>
    </row>
    <row r="941">
      <c r="D941" s="33"/>
      <c r="E941" s="34"/>
      <c r="G941" s="35"/>
    </row>
    <row r="942">
      <c r="D942" s="33"/>
      <c r="E942" s="34"/>
      <c r="G942" s="35"/>
    </row>
    <row r="943">
      <c r="D943" s="33"/>
      <c r="E943" s="34"/>
      <c r="G943" s="35"/>
    </row>
    <row r="944">
      <c r="D944" s="33"/>
      <c r="E944" s="34"/>
      <c r="G944" s="35"/>
    </row>
    <row r="945">
      <c r="D945" s="33"/>
      <c r="E945" s="34"/>
      <c r="G945" s="35"/>
    </row>
    <row r="946">
      <c r="D946" s="33"/>
      <c r="E946" s="34"/>
      <c r="G946" s="35"/>
    </row>
    <row r="947">
      <c r="D947" s="33"/>
      <c r="E947" s="34"/>
      <c r="G947" s="35"/>
    </row>
    <row r="948">
      <c r="D948" s="33"/>
      <c r="E948" s="34"/>
      <c r="G948" s="35"/>
    </row>
    <row r="949">
      <c r="D949" s="33"/>
      <c r="E949" s="34"/>
      <c r="G949" s="35"/>
    </row>
    <row r="950">
      <c r="D950" s="33"/>
      <c r="E950" s="34"/>
      <c r="G950" s="35"/>
    </row>
    <row r="951">
      <c r="D951" s="33"/>
      <c r="E951" s="34"/>
      <c r="G951" s="35"/>
    </row>
    <row r="952">
      <c r="D952" s="33"/>
      <c r="E952" s="34"/>
      <c r="G952" s="35"/>
    </row>
    <row r="953">
      <c r="D953" s="33"/>
      <c r="E953" s="34"/>
      <c r="G953" s="35"/>
    </row>
    <row r="954">
      <c r="D954" s="33"/>
      <c r="E954" s="34"/>
      <c r="G954" s="35"/>
    </row>
    <row r="955">
      <c r="D955" s="33"/>
      <c r="E955" s="34"/>
      <c r="G955" s="35"/>
    </row>
    <row r="956">
      <c r="D956" s="33"/>
      <c r="E956" s="34"/>
      <c r="G956" s="35"/>
    </row>
    <row r="957">
      <c r="D957" s="33"/>
      <c r="E957" s="34"/>
      <c r="G957" s="35"/>
    </row>
    <row r="958">
      <c r="D958" s="33"/>
      <c r="E958" s="34"/>
      <c r="G958" s="35"/>
    </row>
    <row r="959">
      <c r="D959" s="33"/>
      <c r="E959" s="34"/>
      <c r="G959" s="35"/>
    </row>
    <row r="960">
      <c r="D960" s="33"/>
      <c r="E960" s="34"/>
      <c r="G960" s="35"/>
    </row>
    <row r="961">
      <c r="D961" s="33"/>
      <c r="E961" s="34"/>
      <c r="G961" s="35"/>
    </row>
    <row r="962">
      <c r="D962" s="33"/>
      <c r="E962" s="34"/>
      <c r="G962" s="35"/>
    </row>
    <row r="963">
      <c r="D963" s="33"/>
      <c r="E963" s="34"/>
      <c r="G963" s="35"/>
    </row>
    <row r="964">
      <c r="D964" s="33"/>
      <c r="E964" s="34"/>
      <c r="G964" s="35"/>
    </row>
    <row r="965">
      <c r="D965" s="33"/>
      <c r="E965" s="34"/>
      <c r="G965" s="35"/>
    </row>
    <row r="966">
      <c r="D966" s="33"/>
      <c r="E966" s="34"/>
      <c r="G966" s="35"/>
    </row>
    <row r="967">
      <c r="D967" s="33"/>
      <c r="E967" s="34"/>
      <c r="G967" s="35"/>
    </row>
    <row r="968">
      <c r="D968" s="33"/>
      <c r="E968" s="34"/>
      <c r="G968" s="35"/>
    </row>
    <row r="969">
      <c r="D969" s="33"/>
      <c r="E969" s="34"/>
      <c r="G969" s="35"/>
    </row>
    <row r="970">
      <c r="D970" s="33"/>
      <c r="E970" s="34"/>
      <c r="G970" s="35"/>
    </row>
    <row r="971">
      <c r="D971" s="33"/>
      <c r="E971" s="34"/>
      <c r="G971" s="35"/>
    </row>
    <row r="972">
      <c r="D972" s="33"/>
      <c r="E972" s="34"/>
      <c r="G972" s="35"/>
    </row>
    <row r="973">
      <c r="D973" s="33"/>
      <c r="E973" s="34"/>
      <c r="G973" s="35"/>
    </row>
    <row r="974">
      <c r="D974" s="33"/>
      <c r="E974" s="34"/>
      <c r="G974" s="35"/>
    </row>
    <row r="975">
      <c r="D975" s="33"/>
      <c r="E975" s="34"/>
      <c r="G975" s="35"/>
    </row>
    <row r="976">
      <c r="D976" s="33"/>
      <c r="E976" s="34"/>
      <c r="G976" s="35"/>
    </row>
    <row r="977">
      <c r="D977" s="33"/>
      <c r="E977" s="34"/>
      <c r="G977" s="35"/>
    </row>
    <row r="978">
      <c r="D978" s="33"/>
      <c r="E978" s="34"/>
      <c r="G978" s="35"/>
    </row>
    <row r="979">
      <c r="D979" s="33"/>
      <c r="E979" s="34"/>
      <c r="G979" s="35"/>
    </row>
    <row r="980">
      <c r="D980" s="33"/>
      <c r="E980" s="34"/>
      <c r="G980" s="35"/>
    </row>
    <row r="981">
      <c r="D981" s="33"/>
      <c r="E981" s="34"/>
      <c r="G981" s="35"/>
    </row>
    <row r="982">
      <c r="D982" s="33"/>
      <c r="E982" s="34"/>
      <c r="G982" s="35"/>
    </row>
    <row r="983">
      <c r="D983" s="33"/>
      <c r="E983" s="34"/>
      <c r="G983" s="35"/>
    </row>
    <row r="984">
      <c r="D984" s="33"/>
      <c r="E984" s="34"/>
      <c r="G984" s="35"/>
    </row>
    <row r="985">
      <c r="D985" s="33"/>
      <c r="E985" s="34"/>
      <c r="G985" s="35"/>
    </row>
    <row r="986">
      <c r="D986" s="33"/>
      <c r="E986" s="34"/>
      <c r="G986" s="35"/>
    </row>
    <row r="987">
      <c r="D987" s="33"/>
      <c r="E987" s="34"/>
      <c r="G987" s="35"/>
    </row>
    <row r="988">
      <c r="D988" s="33"/>
      <c r="E988" s="34"/>
      <c r="G988" s="35"/>
    </row>
    <row r="989">
      <c r="D989" s="33"/>
      <c r="E989" s="34"/>
      <c r="G989" s="35"/>
    </row>
    <row r="990">
      <c r="D990" s="33"/>
      <c r="E990" s="34"/>
      <c r="G990" s="35"/>
    </row>
    <row r="991">
      <c r="D991" s="33"/>
      <c r="E991" s="34"/>
      <c r="G991" s="35"/>
    </row>
    <row r="992">
      <c r="D992" s="33"/>
      <c r="E992" s="34"/>
      <c r="G992" s="35"/>
    </row>
    <row r="993">
      <c r="D993" s="33"/>
      <c r="E993" s="34"/>
      <c r="G993" s="35"/>
    </row>
    <row r="994">
      <c r="D994" s="33"/>
      <c r="E994" s="34"/>
      <c r="G994" s="35"/>
    </row>
    <row r="995">
      <c r="D995" s="33"/>
      <c r="E995" s="34"/>
      <c r="G995" s="35"/>
    </row>
    <row r="996">
      <c r="D996" s="33"/>
      <c r="E996" s="34"/>
      <c r="G996" s="35"/>
    </row>
    <row r="997">
      <c r="D997" s="33"/>
      <c r="E997" s="34"/>
      <c r="G997" s="35"/>
    </row>
    <row r="998">
      <c r="D998" s="33"/>
      <c r="E998" s="34"/>
      <c r="G998" s="35"/>
    </row>
    <row r="999">
      <c r="D999" s="33"/>
      <c r="E999" s="34"/>
      <c r="G999" s="35"/>
    </row>
    <row r="1000">
      <c r="D1000" s="33"/>
      <c r="E1000" s="34"/>
      <c r="G1000" s="35"/>
    </row>
  </sheetData>
  <mergeCells count="7">
    <mergeCell ref="A1:F1"/>
    <mergeCell ref="A2:G2"/>
    <mergeCell ref="A10:G10"/>
    <mergeCell ref="A26:H26"/>
    <mergeCell ref="G4:G8"/>
    <mergeCell ref="G12:G24"/>
    <mergeCell ref="H28:H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7" max="7" width="20.88"/>
    <col customWidth="1" min="8" max="8" width="19.5"/>
  </cols>
  <sheetData>
    <row r="1">
      <c r="A1" s="36"/>
      <c r="B1" s="15"/>
      <c r="C1" s="15"/>
      <c r="D1" s="16"/>
      <c r="E1" s="15"/>
      <c r="F1" s="15"/>
      <c r="G1" s="15"/>
    </row>
    <row r="2">
      <c r="A2" s="37" t="s">
        <v>1</v>
      </c>
      <c r="B2" s="38"/>
      <c r="C2" s="38"/>
      <c r="D2" s="38"/>
      <c r="E2" s="38"/>
      <c r="F2" s="38"/>
      <c r="G2" s="39"/>
    </row>
    <row r="3">
      <c r="A3" s="40" t="s">
        <v>2</v>
      </c>
      <c r="B3" s="40" t="s">
        <v>3</v>
      </c>
      <c r="C3" s="40" t="s">
        <v>4</v>
      </c>
      <c r="D3" s="40" t="s">
        <v>5</v>
      </c>
      <c r="E3" s="40" t="s">
        <v>6</v>
      </c>
      <c r="F3" s="40" t="s">
        <v>7</v>
      </c>
      <c r="G3" s="5" t="s">
        <v>8</v>
      </c>
    </row>
    <row r="4">
      <c r="A4" s="7" t="s">
        <v>47</v>
      </c>
      <c r="B4" s="7" t="s">
        <v>10</v>
      </c>
      <c r="C4" s="7">
        <v>1160.0</v>
      </c>
      <c r="D4" s="41">
        <v>98.17</v>
      </c>
      <c r="E4" s="42">
        <f t="shared" ref="E4:E8" si="1">C4*D4</f>
        <v>113877.2</v>
      </c>
      <c r="F4" s="43">
        <f>E4/SUM(E4:E9)</f>
        <v>0.1692883241</v>
      </c>
      <c r="G4" s="44">
        <f>SUM(E4:E9)</f>
        <v>672681.95</v>
      </c>
    </row>
    <row r="5">
      <c r="A5" s="7" t="s">
        <v>9</v>
      </c>
      <c r="B5" s="7" t="s">
        <v>48</v>
      </c>
      <c r="C5" s="7">
        <v>1290.0</v>
      </c>
      <c r="D5" s="41">
        <v>85.06</v>
      </c>
      <c r="E5" s="42">
        <f t="shared" si="1"/>
        <v>109727.4</v>
      </c>
      <c r="F5" s="43">
        <f>E5/SUM(E4:E9)</f>
        <v>0.1631192869</v>
      </c>
      <c r="G5" s="12"/>
    </row>
    <row r="6">
      <c r="A6" s="7" t="s">
        <v>11</v>
      </c>
      <c r="B6" s="7" t="s">
        <v>12</v>
      </c>
      <c r="C6" s="7">
        <v>675.0</v>
      </c>
      <c r="D6" s="41">
        <v>108.17</v>
      </c>
      <c r="E6" s="42">
        <f t="shared" si="1"/>
        <v>73014.75</v>
      </c>
      <c r="F6" s="43">
        <f>E6/SUM(E4:E9)</f>
        <v>0.1085427519</v>
      </c>
      <c r="G6" s="12"/>
    </row>
    <row r="7">
      <c r="A7" s="7" t="s">
        <v>13</v>
      </c>
      <c r="B7" s="7" t="s">
        <v>14</v>
      </c>
      <c r="C7" s="7">
        <v>120.0</v>
      </c>
      <c r="D7" s="13">
        <v>737.55</v>
      </c>
      <c r="E7" s="42">
        <f t="shared" si="1"/>
        <v>88506</v>
      </c>
      <c r="F7" s="43">
        <f>E7/SUM(E4:E9)</f>
        <v>0.1315718372</v>
      </c>
      <c r="G7" s="12"/>
    </row>
    <row r="8">
      <c r="A8" s="7" t="s">
        <v>15</v>
      </c>
      <c r="B8" s="7" t="s">
        <v>14</v>
      </c>
      <c r="C8" s="7">
        <v>110.0</v>
      </c>
      <c r="D8" s="8">
        <v>705.06</v>
      </c>
      <c r="E8" s="42">
        <f t="shared" si="1"/>
        <v>77556.6</v>
      </c>
      <c r="F8" s="43">
        <f>E8/SUM(E4:E9)</f>
        <v>0.1152946054</v>
      </c>
      <c r="G8" s="12"/>
    </row>
    <row r="9">
      <c r="A9" s="7" t="s">
        <v>16</v>
      </c>
      <c r="B9" s="7" t="s">
        <v>17</v>
      </c>
      <c r="C9" s="7">
        <v>210000.0</v>
      </c>
      <c r="D9" s="45" t="s">
        <v>18</v>
      </c>
      <c r="E9" s="42">
        <f>C9</f>
        <v>210000</v>
      </c>
      <c r="F9" s="43">
        <f>E9/SUM(E4:E9)</f>
        <v>0.3121831945</v>
      </c>
      <c r="G9" s="14"/>
    </row>
    <row r="10">
      <c r="A10" s="46"/>
      <c r="B10" s="15"/>
      <c r="C10" s="15"/>
      <c r="D10" s="16"/>
      <c r="E10" s="15"/>
      <c r="F10" s="15"/>
      <c r="G10" s="15"/>
    </row>
    <row r="11">
      <c r="A11" s="47" t="s">
        <v>19</v>
      </c>
      <c r="B11" s="38"/>
      <c r="C11" s="38"/>
      <c r="D11" s="38"/>
      <c r="E11" s="38"/>
      <c r="F11" s="38"/>
      <c r="G11" s="39"/>
    </row>
    <row r="12">
      <c r="A12" s="40" t="s">
        <v>2</v>
      </c>
      <c r="B12" s="40" t="s">
        <v>3</v>
      </c>
      <c r="C12" s="40" t="s">
        <v>4</v>
      </c>
      <c r="D12" s="40" t="s">
        <v>5</v>
      </c>
      <c r="E12" s="40" t="s">
        <v>6</v>
      </c>
      <c r="F12" s="40" t="s">
        <v>7</v>
      </c>
      <c r="G12" s="5" t="s">
        <v>8</v>
      </c>
    </row>
    <row r="13">
      <c r="A13" s="7" t="s">
        <v>20</v>
      </c>
      <c r="B13" s="7" t="s">
        <v>21</v>
      </c>
      <c r="C13" s="7">
        <v>305.0</v>
      </c>
      <c r="D13" s="13">
        <v>205.1</v>
      </c>
      <c r="E13" s="42">
        <f t="shared" ref="E13:E25" si="2">D13*C13</f>
        <v>62555.5</v>
      </c>
      <c r="F13" s="43">
        <f>E13/SUM(E13:E26)</f>
        <v>0.04931500115</v>
      </c>
      <c r="G13" s="44">
        <f>SUM(E13:E26)</f>
        <v>1268488.26</v>
      </c>
    </row>
    <row r="14">
      <c r="A14" s="7" t="s">
        <v>22</v>
      </c>
      <c r="B14" s="7" t="s">
        <v>21</v>
      </c>
      <c r="C14" s="7">
        <v>200.0</v>
      </c>
      <c r="D14" s="13">
        <v>416.67</v>
      </c>
      <c r="E14" s="42">
        <f t="shared" si="2"/>
        <v>83334</v>
      </c>
      <c r="F14" s="43">
        <f>E14/SUM(E13:E26)</f>
        <v>0.06569552327</v>
      </c>
      <c r="G14" s="12"/>
    </row>
    <row r="15">
      <c r="A15" s="7" t="s">
        <v>23</v>
      </c>
      <c r="B15" s="7" t="s">
        <v>21</v>
      </c>
      <c r="C15" s="7">
        <v>190.0</v>
      </c>
      <c r="D15" s="13">
        <v>307.34</v>
      </c>
      <c r="E15" s="42">
        <f t="shared" si="2"/>
        <v>58394.6</v>
      </c>
      <c r="F15" s="43">
        <f>E15/SUM(E13:E26)</f>
        <v>0.04603479736</v>
      </c>
      <c r="G15" s="12"/>
    </row>
    <row r="16">
      <c r="A16" s="7" t="s">
        <v>24</v>
      </c>
      <c r="B16" s="7" t="s">
        <v>21</v>
      </c>
      <c r="C16" s="7">
        <v>200.0</v>
      </c>
      <c r="D16" s="13">
        <v>246.03</v>
      </c>
      <c r="E16" s="42">
        <f t="shared" si="2"/>
        <v>49206</v>
      </c>
      <c r="F16" s="43">
        <f>E16/SUM(E13:E26)</f>
        <v>0.03879105669</v>
      </c>
      <c r="G16" s="12"/>
    </row>
    <row r="17">
      <c r="A17" s="7" t="s">
        <v>25</v>
      </c>
      <c r="B17" s="7" t="s">
        <v>21</v>
      </c>
      <c r="C17" s="7">
        <v>156.0</v>
      </c>
      <c r="D17" s="13">
        <v>368.53</v>
      </c>
      <c r="E17" s="42">
        <f t="shared" si="2"/>
        <v>57490.68</v>
      </c>
      <c r="F17" s="43">
        <f>E17/SUM(E13:E26)</f>
        <v>0.04532220109</v>
      </c>
      <c r="G17" s="12"/>
    </row>
    <row r="18">
      <c r="A18" s="7" t="s">
        <v>26</v>
      </c>
      <c r="B18" s="7" t="s">
        <v>21</v>
      </c>
      <c r="C18" s="7">
        <v>360.0</v>
      </c>
      <c r="D18" s="13">
        <v>385.73</v>
      </c>
      <c r="E18" s="42">
        <f t="shared" si="2"/>
        <v>138862.8</v>
      </c>
      <c r="F18" s="43">
        <f>E18/SUM(E13:E26)</f>
        <v>0.1094710959</v>
      </c>
      <c r="G18" s="12"/>
    </row>
    <row r="19">
      <c r="A19" s="7" t="s">
        <v>27</v>
      </c>
      <c r="B19" s="7" t="s">
        <v>21</v>
      </c>
      <c r="C19" s="7">
        <v>320.0</v>
      </c>
      <c r="D19" s="13">
        <v>415.17</v>
      </c>
      <c r="E19" s="42">
        <f t="shared" si="2"/>
        <v>132854.4</v>
      </c>
      <c r="F19" s="43">
        <f>E19/SUM(E13:E26)</f>
        <v>0.104734434</v>
      </c>
      <c r="G19" s="12"/>
    </row>
    <row r="20">
      <c r="A20" s="7" t="s">
        <v>28</v>
      </c>
      <c r="B20" s="7" t="s">
        <v>21</v>
      </c>
      <c r="C20" s="7">
        <v>270.0</v>
      </c>
      <c r="D20" s="13">
        <v>391.0</v>
      </c>
      <c r="E20" s="42">
        <f t="shared" si="2"/>
        <v>105570</v>
      </c>
      <c r="F20" s="43">
        <f>E20/SUM(E13:E26)</f>
        <v>0.0832250509</v>
      </c>
      <c r="G20" s="12"/>
    </row>
    <row r="21">
      <c r="A21" s="7" t="s">
        <v>13</v>
      </c>
      <c r="B21" s="7" t="s">
        <v>14</v>
      </c>
      <c r="C21" s="7">
        <v>130.0</v>
      </c>
      <c r="D21" s="13">
        <v>737.55</v>
      </c>
      <c r="E21" s="42">
        <f t="shared" si="2"/>
        <v>95881.5</v>
      </c>
      <c r="F21" s="43">
        <f>E21/SUM(E13:E26)</f>
        <v>0.07558721907</v>
      </c>
      <c r="G21" s="12"/>
    </row>
    <row r="22">
      <c r="A22" s="7" t="s">
        <v>15</v>
      </c>
      <c r="B22" s="7" t="s">
        <v>14</v>
      </c>
      <c r="C22" s="7">
        <v>120.0</v>
      </c>
      <c r="D22" s="8">
        <v>705.06</v>
      </c>
      <c r="E22" s="42">
        <f t="shared" si="2"/>
        <v>84607.2</v>
      </c>
      <c r="F22" s="43">
        <f>E22/SUM(E13:E26)</f>
        <v>0.06669923772</v>
      </c>
      <c r="G22" s="12"/>
    </row>
    <row r="23">
      <c r="A23" s="7" t="s">
        <v>49</v>
      </c>
      <c r="B23" s="7" t="s">
        <v>14</v>
      </c>
      <c r="C23" s="7">
        <v>4.0</v>
      </c>
      <c r="D23" s="48">
        <v>4742.0</v>
      </c>
      <c r="E23" s="42">
        <f t="shared" si="2"/>
        <v>18968</v>
      </c>
      <c r="F23" s="43">
        <f>E23/SUM(E13:E26)</f>
        <v>0.0149532326</v>
      </c>
      <c r="G23" s="12"/>
    </row>
    <row r="24">
      <c r="A24" s="7" t="s">
        <v>30</v>
      </c>
      <c r="B24" s="7" t="s">
        <v>50</v>
      </c>
      <c r="C24" s="7">
        <v>16.0</v>
      </c>
      <c r="D24" s="13">
        <v>4327.88</v>
      </c>
      <c r="E24" s="42">
        <f t="shared" si="2"/>
        <v>69246.08</v>
      </c>
      <c r="F24" s="43">
        <f>E24/SUM(E13:E26)</f>
        <v>0.0545894528</v>
      </c>
      <c r="G24" s="12"/>
    </row>
    <row r="25">
      <c r="A25" s="7" t="s">
        <v>51</v>
      </c>
      <c r="B25" s="7" t="s">
        <v>50</v>
      </c>
      <c r="C25" s="7">
        <v>170.0</v>
      </c>
      <c r="D25" s="7">
        <v>67.75</v>
      </c>
      <c r="E25" s="42">
        <f t="shared" si="2"/>
        <v>11517.5</v>
      </c>
      <c r="F25" s="43">
        <f>E25/SUM(E13:E26)</f>
        <v>0.009079705633</v>
      </c>
      <c r="G25" s="12"/>
    </row>
    <row r="26">
      <c r="A26" s="7" t="s">
        <v>16</v>
      </c>
      <c r="B26" s="7" t="s">
        <v>17</v>
      </c>
      <c r="C26" s="7">
        <v>300000.0</v>
      </c>
      <c r="D26" s="45" t="s">
        <v>18</v>
      </c>
      <c r="E26" s="42">
        <f>C26</f>
        <v>300000</v>
      </c>
      <c r="F26" s="43">
        <f>E26/SUM(E13:E26)</f>
        <v>0.2365019917</v>
      </c>
      <c r="G26" s="14"/>
    </row>
    <row r="27">
      <c r="A27" s="46"/>
      <c r="B27" s="15"/>
      <c r="C27" s="15"/>
      <c r="D27" s="16"/>
      <c r="E27" s="15"/>
      <c r="F27" s="15"/>
      <c r="G27" s="15"/>
    </row>
    <row r="28">
      <c r="A28" s="49" t="s">
        <v>32</v>
      </c>
    </row>
    <row r="29">
      <c r="A29" s="40" t="s">
        <v>2</v>
      </c>
      <c r="B29" s="40" t="s">
        <v>3</v>
      </c>
      <c r="C29" s="40" t="s">
        <v>4</v>
      </c>
      <c r="D29" s="40" t="s">
        <v>5</v>
      </c>
      <c r="E29" s="40" t="s">
        <v>6</v>
      </c>
      <c r="F29" s="40" t="s">
        <v>7</v>
      </c>
      <c r="G29" s="50" t="s">
        <v>33</v>
      </c>
      <c r="H29" s="5" t="s">
        <v>8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7" t="s">
        <v>20</v>
      </c>
      <c r="B30" s="7" t="s">
        <v>21</v>
      </c>
      <c r="C30" s="24">
        <v>80.0</v>
      </c>
      <c r="D30" s="13">
        <v>205.1</v>
      </c>
      <c r="E30" s="42">
        <f t="shared" ref="E30:E43" si="3">D30*C30</f>
        <v>16408</v>
      </c>
      <c r="F30" s="43">
        <f>E30/SUM(E30:E48)</f>
        <v>0.02260629003</v>
      </c>
      <c r="G30" s="51"/>
      <c r="H30" s="52">
        <f>SUM(E30:E48)</f>
        <v>725815.69</v>
      </c>
    </row>
    <row r="31">
      <c r="A31" s="7" t="s">
        <v>28</v>
      </c>
      <c r="B31" s="7" t="s">
        <v>21</v>
      </c>
      <c r="C31" s="24">
        <v>123.0</v>
      </c>
      <c r="D31" s="13">
        <v>391.0</v>
      </c>
      <c r="E31" s="42">
        <f t="shared" si="3"/>
        <v>48093</v>
      </c>
      <c r="F31" s="43">
        <f>E31/SUM(E30:E48)</f>
        <v>0.06626062327</v>
      </c>
      <c r="G31" s="51"/>
      <c r="H31" s="12"/>
    </row>
    <row r="32">
      <c r="A32" s="7" t="s">
        <v>22</v>
      </c>
      <c r="B32" s="7" t="s">
        <v>21</v>
      </c>
      <c r="C32" s="24">
        <v>130.0</v>
      </c>
      <c r="D32" s="13">
        <v>416.67</v>
      </c>
      <c r="E32" s="42">
        <f t="shared" si="3"/>
        <v>54167.1</v>
      </c>
      <c r="F32" s="43">
        <f>E32/SUM(E30:E48)</f>
        <v>0.07462927675</v>
      </c>
      <c r="G32" s="51"/>
      <c r="H32" s="12"/>
    </row>
    <row r="33">
      <c r="A33" s="7" t="s">
        <v>23</v>
      </c>
      <c r="B33" s="7" t="s">
        <v>21</v>
      </c>
      <c r="C33" s="24">
        <v>170.0</v>
      </c>
      <c r="D33" s="13">
        <v>307.34</v>
      </c>
      <c r="E33" s="42">
        <f t="shared" si="3"/>
        <v>52247.8</v>
      </c>
      <c r="F33" s="43">
        <f>E33/SUM(E30:E48)</f>
        <v>0.07198494152</v>
      </c>
      <c r="G33" s="51"/>
      <c r="H33" s="12"/>
    </row>
    <row r="34">
      <c r="A34" s="7" t="s">
        <v>25</v>
      </c>
      <c r="B34" s="7" t="s">
        <v>21</v>
      </c>
      <c r="C34" s="24">
        <v>129.0</v>
      </c>
      <c r="D34" s="13">
        <v>368.53</v>
      </c>
      <c r="E34" s="42">
        <f t="shared" si="3"/>
        <v>47540.37</v>
      </c>
      <c r="F34" s="43">
        <f>E34/SUM(E30:E48)</f>
        <v>0.06549923163</v>
      </c>
      <c r="G34" s="51"/>
      <c r="H34" s="12"/>
    </row>
    <row r="35">
      <c r="A35" s="7" t="s">
        <v>35</v>
      </c>
      <c r="B35" s="7" t="s">
        <v>21</v>
      </c>
      <c r="C35" s="24">
        <v>104.0</v>
      </c>
      <c r="D35" s="24">
        <v>152.4</v>
      </c>
      <c r="E35" s="42">
        <f t="shared" si="3"/>
        <v>15849.6</v>
      </c>
      <c r="F35" s="43">
        <f>E35/SUM(E30:E48)</f>
        <v>0.02183694872</v>
      </c>
      <c r="G35" s="51"/>
      <c r="H35" s="12"/>
    </row>
    <row r="36">
      <c r="A36" s="7" t="s">
        <v>34</v>
      </c>
      <c r="B36" s="7" t="s">
        <v>21</v>
      </c>
      <c r="C36" s="24">
        <v>130.0</v>
      </c>
      <c r="D36" s="24">
        <v>135.53</v>
      </c>
      <c r="E36" s="42">
        <f t="shared" si="3"/>
        <v>17618.9</v>
      </c>
      <c r="F36" s="43">
        <f>E36/SUM(E30:E48)</f>
        <v>0.02427461991</v>
      </c>
      <c r="G36" s="51"/>
      <c r="H36" s="12"/>
    </row>
    <row r="37">
      <c r="A37" s="7" t="s">
        <v>36</v>
      </c>
      <c r="B37" s="7" t="s">
        <v>21</v>
      </c>
      <c r="C37" s="24">
        <v>120.0</v>
      </c>
      <c r="D37" s="24">
        <v>173.45</v>
      </c>
      <c r="E37" s="42">
        <f t="shared" si="3"/>
        <v>20814</v>
      </c>
      <c r="F37" s="43">
        <f>E37/SUM(E30:E48)</f>
        <v>0.02867670166</v>
      </c>
      <c r="G37" s="51"/>
      <c r="H37" s="12"/>
    </row>
    <row r="38">
      <c r="A38" s="7" t="s">
        <v>37</v>
      </c>
      <c r="B38" s="7" t="s">
        <v>21</v>
      </c>
      <c r="C38" s="24">
        <v>68.0</v>
      </c>
      <c r="D38" s="24">
        <v>120.44</v>
      </c>
      <c r="E38" s="42">
        <f t="shared" si="3"/>
        <v>8189.92</v>
      </c>
      <c r="F38" s="43">
        <f>E38/SUM(E30:E48)</f>
        <v>0.01128374615</v>
      </c>
      <c r="G38" s="51"/>
      <c r="H38" s="12"/>
    </row>
    <row r="39">
      <c r="A39" s="7" t="s">
        <v>13</v>
      </c>
      <c r="B39" s="7" t="s">
        <v>14</v>
      </c>
      <c r="C39" s="24">
        <v>69.0</v>
      </c>
      <c r="D39" s="13">
        <v>737.55</v>
      </c>
      <c r="E39" s="42">
        <f t="shared" si="3"/>
        <v>50890.95</v>
      </c>
      <c r="F39" s="43">
        <f>E39/SUM(E30:E48)</f>
        <v>0.07011552754</v>
      </c>
      <c r="G39" s="51"/>
      <c r="H39" s="12"/>
    </row>
    <row r="40">
      <c r="A40" s="7" t="s">
        <v>15</v>
      </c>
      <c r="B40" s="7" t="s">
        <v>14</v>
      </c>
      <c r="C40" s="24">
        <v>80.0</v>
      </c>
      <c r="D40" s="8">
        <v>705.06</v>
      </c>
      <c r="E40" s="42">
        <f t="shared" si="3"/>
        <v>56404.8</v>
      </c>
      <c r="F40" s="43">
        <f>E40/SUM(E30:E48)</f>
        <v>0.07771229084</v>
      </c>
      <c r="G40" s="51"/>
      <c r="H40" s="12"/>
    </row>
    <row r="41">
      <c r="A41" s="7" t="s">
        <v>49</v>
      </c>
      <c r="B41" s="7" t="s">
        <v>14</v>
      </c>
      <c r="C41" s="24">
        <v>7.0</v>
      </c>
      <c r="D41" s="48">
        <v>4742.0</v>
      </c>
      <c r="E41" s="42">
        <f t="shared" si="3"/>
        <v>33194</v>
      </c>
      <c r="F41" s="43">
        <f>E41/SUM(E30:E48)</f>
        <v>0.04573337344</v>
      </c>
      <c r="G41" s="51"/>
      <c r="H41" s="12"/>
    </row>
    <row r="42">
      <c r="A42" s="7" t="s">
        <v>38</v>
      </c>
      <c r="B42" s="7" t="s">
        <v>39</v>
      </c>
      <c r="C42" s="24">
        <v>5.0</v>
      </c>
      <c r="D42" s="24">
        <v>8116.75</v>
      </c>
      <c r="E42" s="42">
        <f t="shared" si="3"/>
        <v>40583.75</v>
      </c>
      <c r="F42" s="43">
        <f>E42/SUM(E30:E48)</f>
        <v>0.05591467718</v>
      </c>
      <c r="G42" s="53" t="s">
        <v>40</v>
      </c>
      <c r="H42" s="12"/>
    </row>
    <row r="43">
      <c r="A43" s="7" t="s">
        <v>41</v>
      </c>
      <c r="B43" s="7" t="s">
        <v>39</v>
      </c>
      <c r="C43" s="24">
        <v>2.0</v>
      </c>
      <c r="D43" s="24">
        <v>31579.25</v>
      </c>
      <c r="E43" s="42">
        <f t="shared" si="3"/>
        <v>63158.5</v>
      </c>
      <c r="F43" s="43">
        <f>E43/SUM(E30:E48)</f>
        <v>0.08701727018</v>
      </c>
      <c r="G43" s="54" t="s">
        <v>42</v>
      </c>
      <c r="H43" s="12"/>
    </row>
    <row r="44">
      <c r="A44" s="28" t="s">
        <v>52</v>
      </c>
      <c r="B44" s="7" t="s">
        <v>44</v>
      </c>
      <c r="C44" s="24">
        <v>3.0</v>
      </c>
      <c r="D44" s="24">
        <v>94.47</v>
      </c>
      <c r="E44" s="29">
        <f t="shared" ref="E44:E47" si="4">(D44*C44)*100</f>
        <v>28341</v>
      </c>
      <c r="F44" s="30">
        <f>E44/SUM(E30:E48)</f>
        <v>0.03904710299</v>
      </c>
      <c r="G44" s="53" t="s">
        <v>40</v>
      </c>
      <c r="H44" s="12"/>
    </row>
    <row r="45">
      <c r="A45" s="28" t="s">
        <v>53</v>
      </c>
      <c r="B45" s="7" t="s">
        <v>44</v>
      </c>
      <c r="C45" s="24">
        <v>4.0</v>
      </c>
      <c r="D45" s="24">
        <v>75.5</v>
      </c>
      <c r="E45" s="29">
        <f t="shared" si="4"/>
        <v>30200</v>
      </c>
      <c r="F45" s="30">
        <f>E45/SUM(E30:E48)</f>
        <v>0.04160835928</v>
      </c>
      <c r="G45" s="54" t="s">
        <v>54</v>
      </c>
      <c r="H45" s="12"/>
    </row>
    <row r="46">
      <c r="A46" s="28" t="s">
        <v>55</v>
      </c>
      <c r="B46" s="7" t="s">
        <v>44</v>
      </c>
      <c r="C46" s="24">
        <v>5.0</v>
      </c>
      <c r="D46" s="24">
        <v>129.5</v>
      </c>
      <c r="E46" s="29">
        <f t="shared" si="4"/>
        <v>64750</v>
      </c>
      <c r="F46" s="30">
        <f>E46/SUM(E30:E48)</f>
        <v>0.08920997561</v>
      </c>
      <c r="G46" s="53" t="s">
        <v>40</v>
      </c>
      <c r="H46" s="12"/>
    </row>
    <row r="47">
      <c r="A47" s="28" t="s">
        <v>56</v>
      </c>
      <c r="B47" s="7" t="s">
        <v>44</v>
      </c>
      <c r="C47" s="24">
        <v>2.0</v>
      </c>
      <c r="D47" s="24">
        <v>61.82</v>
      </c>
      <c r="E47" s="29">
        <f t="shared" si="4"/>
        <v>12364</v>
      </c>
      <c r="F47" s="30">
        <f>E47/SUM(E30:E48)</f>
        <v>0.01703462762</v>
      </c>
      <c r="G47" s="53" t="s">
        <v>40</v>
      </c>
      <c r="H47" s="12"/>
    </row>
    <row r="48">
      <c r="A48" s="28" t="s">
        <v>16</v>
      </c>
      <c r="B48" s="7" t="s">
        <v>17</v>
      </c>
      <c r="C48" s="24">
        <v>65000.0</v>
      </c>
      <c r="D48" s="24" t="s">
        <v>18</v>
      </c>
      <c r="E48" s="29">
        <f>C48</f>
        <v>65000</v>
      </c>
      <c r="F48" s="30">
        <f>E48/SUM(E30:E48)</f>
        <v>0.08955441567</v>
      </c>
      <c r="G48" s="51"/>
      <c r="H48" s="14"/>
    </row>
    <row r="49">
      <c r="A49" s="15"/>
      <c r="B49" s="15"/>
      <c r="C49" s="15"/>
      <c r="D49" s="16"/>
      <c r="E49" s="15"/>
      <c r="F49" s="15"/>
      <c r="G49" s="15"/>
    </row>
    <row r="50">
      <c r="D50" s="55"/>
    </row>
    <row r="51">
      <c r="D51" s="55"/>
    </row>
    <row r="52">
      <c r="D52" s="55"/>
    </row>
    <row r="53">
      <c r="D53" s="55"/>
    </row>
    <row r="54">
      <c r="D54" s="55"/>
    </row>
    <row r="55">
      <c r="D55" s="55"/>
    </row>
    <row r="56">
      <c r="D56" s="55"/>
    </row>
    <row r="57">
      <c r="D57" s="55"/>
    </row>
    <row r="58">
      <c r="D58" s="55"/>
    </row>
    <row r="59">
      <c r="D59" s="55"/>
    </row>
    <row r="60">
      <c r="D60" s="55"/>
    </row>
    <row r="61">
      <c r="D61" s="55"/>
    </row>
    <row r="62">
      <c r="D62" s="55"/>
    </row>
    <row r="63">
      <c r="D63" s="55"/>
    </row>
    <row r="64">
      <c r="D64" s="55"/>
    </row>
    <row r="65">
      <c r="D65" s="55"/>
    </row>
    <row r="66">
      <c r="D66" s="55"/>
    </row>
    <row r="67">
      <c r="D67" s="55"/>
    </row>
    <row r="68">
      <c r="D68" s="55"/>
    </row>
    <row r="69">
      <c r="D69" s="55"/>
    </row>
    <row r="70">
      <c r="D70" s="55"/>
    </row>
    <row r="71">
      <c r="D71" s="55"/>
    </row>
    <row r="72">
      <c r="D72" s="55"/>
    </row>
    <row r="73">
      <c r="D73" s="55"/>
    </row>
    <row r="74">
      <c r="D74" s="55"/>
    </row>
    <row r="75">
      <c r="D75" s="55"/>
    </row>
    <row r="76">
      <c r="D76" s="55"/>
    </row>
    <row r="77">
      <c r="D77" s="55"/>
    </row>
    <row r="78">
      <c r="D78" s="55"/>
    </row>
    <row r="79">
      <c r="D79" s="55"/>
    </row>
    <row r="80">
      <c r="D80" s="55"/>
    </row>
    <row r="81">
      <c r="D81" s="55"/>
    </row>
    <row r="82">
      <c r="D82" s="55"/>
    </row>
    <row r="83">
      <c r="D83" s="55"/>
    </row>
    <row r="84">
      <c r="D84" s="55"/>
    </row>
    <row r="85">
      <c r="D85" s="55"/>
    </row>
    <row r="86">
      <c r="D86" s="55"/>
    </row>
    <row r="87">
      <c r="D87" s="55"/>
    </row>
    <row r="88">
      <c r="D88" s="55"/>
    </row>
    <row r="89">
      <c r="D89" s="55"/>
    </row>
    <row r="90">
      <c r="D90" s="55"/>
    </row>
    <row r="91">
      <c r="D91" s="55"/>
    </row>
    <row r="92">
      <c r="D92" s="55"/>
    </row>
    <row r="93">
      <c r="D93" s="55"/>
    </row>
    <row r="94">
      <c r="D94" s="55"/>
    </row>
    <row r="95">
      <c r="D95" s="55"/>
    </row>
    <row r="96">
      <c r="D96" s="55"/>
    </row>
    <row r="97">
      <c r="D97" s="55"/>
    </row>
    <row r="98">
      <c r="D98" s="55"/>
    </row>
    <row r="99">
      <c r="D99" s="55"/>
    </row>
    <row r="100">
      <c r="D100" s="55"/>
    </row>
    <row r="101">
      <c r="D101" s="55"/>
    </row>
    <row r="102">
      <c r="D102" s="55"/>
    </row>
    <row r="103">
      <c r="D103" s="55"/>
    </row>
    <row r="104">
      <c r="D104" s="55"/>
    </row>
    <row r="105">
      <c r="D105" s="55"/>
    </row>
    <row r="106">
      <c r="D106" s="55"/>
    </row>
    <row r="107">
      <c r="D107" s="55"/>
    </row>
    <row r="108">
      <c r="D108" s="55"/>
    </row>
    <row r="109">
      <c r="D109" s="55"/>
    </row>
    <row r="110">
      <c r="D110" s="55"/>
    </row>
    <row r="111">
      <c r="D111" s="55"/>
    </row>
    <row r="112">
      <c r="D112" s="55"/>
    </row>
    <row r="113">
      <c r="D113" s="55"/>
    </row>
    <row r="114">
      <c r="D114" s="55"/>
    </row>
    <row r="115">
      <c r="D115" s="55"/>
    </row>
    <row r="116">
      <c r="D116" s="55"/>
    </row>
    <row r="117">
      <c r="D117" s="55"/>
    </row>
    <row r="118">
      <c r="D118" s="55"/>
    </row>
    <row r="119">
      <c r="D119" s="55"/>
    </row>
    <row r="120">
      <c r="D120" s="55"/>
    </row>
    <row r="121">
      <c r="D121" s="55"/>
    </row>
    <row r="122">
      <c r="D122" s="55"/>
    </row>
    <row r="123">
      <c r="D123" s="55"/>
    </row>
    <row r="124">
      <c r="D124" s="55"/>
    </row>
    <row r="125">
      <c r="D125" s="55"/>
    </row>
    <row r="126">
      <c r="D126" s="55"/>
    </row>
    <row r="127">
      <c r="D127" s="55"/>
    </row>
    <row r="128">
      <c r="D128" s="55"/>
    </row>
    <row r="129">
      <c r="D129" s="55"/>
    </row>
    <row r="130">
      <c r="D130" s="55"/>
    </row>
    <row r="131">
      <c r="D131" s="55"/>
    </row>
    <row r="132">
      <c r="D132" s="55"/>
    </row>
    <row r="133">
      <c r="D133" s="55"/>
    </row>
    <row r="134">
      <c r="D134" s="55"/>
    </row>
    <row r="135">
      <c r="D135" s="55"/>
    </row>
    <row r="136">
      <c r="D136" s="55"/>
    </row>
    <row r="137">
      <c r="D137" s="55"/>
    </row>
    <row r="138">
      <c r="D138" s="55"/>
    </row>
    <row r="139">
      <c r="D139" s="55"/>
    </row>
    <row r="140">
      <c r="D140" s="55"/>
    </row>
    <row r="141">
      <c r="D141" s="55"/>
    </row>
    <row r="142">
      <c r="D142" s="55"/>
    </row>
    <row r="143">
      <c r="D143" s="55"/>
    </row>
    <row r="144">
      <c r="D144" s="55"/>
    </row>
    <row r="145">
      <c r="D145" s="55"/>
    </row>
    <row r="146">
      <c r="D146" s="55"/>
    </row>
    <row r="147">
      <c r="D147" s="55"/>
    </row>
    <row r="148">
      <c r="D148" s="55"/>
    </row>
    <row r="149">
      <c r="D149" s="55"/>
    </row>
    <row r="150">
      <c r="D150" s="55"/>
    </row>
    <row r="151">
      <c r="D151" s="55"/>
    </row>
    <row r="152">
      <c r="D152" s="55"/>
    </row>
    <row r="153">
      <c r="D153" s="55"/>
    </row>
    <row r="154">
      <c r="D154" s="55"/>
    </row>
    <row r="155">
      <c r="D155" s="55"/>
    </row>
    <row r="156">
      <c r="D156" s="55"/>
    </row>
    <row r="157">
      <c r="D157" s="55"/>
    </row>
    <row r="158">
      <c r="D158" s="55"/>
    </row>
    <row r="159">
      <c r="D159" s="55"/>
    </row>
    <row r="160">
      <c r="D160" s="55"/>
    </row>
    <row r="161">
      <c r="D161" s="55"/>
    </row>
    <row r="162">
      <c r="D162" s="55"/>
    </row>
    <row r="163">
      <c r="D163" s="55"/>
    </row>
    <row r="164">
      <c r="D164" s="55"/>
    </row>
    <row r="165">
      <c r="D165" s="55"/>
    </row>
    <row r="166">
      <c r="D166" s="55"/>
    </row>
    <row r="167">
      <c r="D167" s="55"/>
    </row>
    <row r="168">
      <c r="D168" s="55"/>
    </row>
    <row r="169">
      <c r="D169" s="55"/>
    </row>
    <row r="170">
      <c r="D170" s="55"/>
    </row>
    <row r="171">
      <c r="D171" s="55"/>
    </row>
    <row r="172">
      <c r="D172" s="55"/>
    </row>
    <row r="173">
      <c r="D173" s="55"/>
    </row>
    <row r="174">
      <c r="D174" s="55"/>
    </row>
    <row r="175">
      <c r="D175" s="55"/>
    </row>
    <row r="176">
      <c r="D176" s="55"/>
    </row>
    <row r="177">
      <c r="D177" s="55"/>
    </row>
    <row r="178">
      <c r="D178" s="55"/>
    </row>
    <row r="179">
      <c r="D179" s="55"/>
    </row>
    <row r="180">
      <c r="D180" s="55"/>
    </row>
    <row r="181">
      <c r="D181" s="55"/>
    </row>
    <row r="182">
      <c r="D182" s="55"/>
    </row>
    <row r="183">
      <c r="D183" s="55"/>
    </row>
    <row r="184">
      <c r="D184" s="55"/>
    </row>
    <row r="185">
      <c r="D185" s="55"/>
    </row>
    <row r="186">
      <c r="D186" s="55"/>
    </row>
    <row r="187">
      <c r="D187" s="55"/>
    </row>
    <row r="188">
      <c r="D188" s="55"/>
    </row>
    <row r="189">
      <c r="D189" s="55"/>
    </row>
    <row r="190">
      <c r="D190" s="55"/>
    </row>
    <row r="191">
      <c r="D191" s="55"/>
    </row>
    <row r="192">
      <c r="D192" s="55"/>
    </row>
    <row r="193">
      <c r="D193" s="55"/>
    </row>
    <row r="194">
      <c r="D194" s="55"/>
    </row>
    <row r="195">
      <c r="D195" s="55"/>
    </row>
    <row r="196">
      <c r="D196" s="55"/>
    </row>
    <row r="197">
      <c r="D197" s="55"/>
    </row>
    <row r="198">
      <c r="D198" s="55"/>
    </row>
    <row r="199">
      <c r="D199" s="55"/>
    </row>
    <row r="200">
      <c r="D200" s="55"/>
    </row>
    <row r="201">
      <c r="D201" s="55"/>
    </row>
    <row r="202">
      <c r="D202" s="55"/>
    </row>
    <row r="203">
      <c r="D203" s="55"/>
    </row>
    <row r="204">
      <c r="D204" s="55"/>
    </row>
    <row r="205">
      <c r="D205" s="55"/>
    </row>
    <row r="206">
      <c r="D206" s="55"/>
    </row>
    <row r="207">
      <c r="D207" s="55"/>
    </row>
    <row r="208">
      <c r="D208" s="55"/>
    </row>
    <row r="209">
      <c r="D209" s="55"/>
    </row>
    <row r="210">
      <c r="D210" s="55"/>
    </row>
    <row r="211">
      <c r="D211" s="55"/>
    </row>
    <row r="212">
      <c r="D212" s="55"/>
    </row>
    <row r="213">
      <c r="D213" s="55"/>
    </row>
    <row r="214">
      <c r="D214" s="55"/>
    </row>
    <row r="215">
      <c r="D215" s="55"/>
    </row>
    <row r="216">
      <c r="D216" s="55"/>
    </row>
    <row r="217">
      <c r="D217" s="55"/>
    </row>
    <row r="218">
      <c r="D218" s="55"/>
    </row>
    <row r="219">
      <c r="D219" s="55"/>
    </row>
    <row r="220">
      <c r="D220" s="55"/>
    </row>
    <row r="221">
      <c r="D221" s="55"/>
    </row>
    <row r="222">
      <c r="D222" s="55"/>
    </row>
    <row r="223">
      <c r="D223" s="55"/>
    </row>
    <row r="224">
      <c r="D224" s="55"/>
    </row>
    <row r="225">
      <c r="D225" s="55"/>
    </row>
    <row r="226">
      <c r="D226" s="55"/>
    </row>
    <row r="227">
      <c r="D227" s="55"/>
    </row>
    <row r="228">
      <c r="D228" s="55"/>
    </row>
    <row r="229">
      <c r="D229" s="55"/>
    </row>
    <row r="230">
      <c r="D230" s="55"/>
    </row>
    <row r="231">
      <c r="D231" s="55"/>
    </row>
    <row r="232">
      <c r="D232" s="55"/>
    </row>
    <row r="233">
      <c r="D233" s="55"/>
    </row>
    <row r="234">
      <c r="D234" s="55"/>
    </row>
    <row r="235">
      <c r="D235" s="55"/>
    </row>
    <row r="236">
      <c r="D236" s="55"/>
    </row>
    <row r="237">
      <c r="D237" s="55"/>
    </row>
    <row r="238">
      <c r="D238" s="55"/>
    </row>
    <row r="239">
      <c r="D239" s="55"/>
    </row>
    <row r="240">
      <c r="D240" s="55"/>
    </row>
    <row r="241">
      <c r="D241" s="55"/>
    </row>
    <row r="242">
      <c r="D242" s="55"/>
    </row>
    <row r="243">
      <c r="D243" s="55"/>
    </row>
    <row r="244">
      <c r="D244" s="55"/>
    </row>
    <row r="245">
      <c r="D245" s="55"/>
    </row>
    <row r="246">
      <c r="D246" s="55"/>
    </row>
    <row r="247">
      <c r="D247" s="55"/>
    </row>
    <row r="248">
      <c r="D248" s="55"/>
    </row>
    <row r="249">
      <c r="D249" s="55"/>
    </row>
    <row r="250">
      <c r="D250" s="55"/>
    </row>
    <row r="251">
      <c r="D251" s="55"/>
    </row>
    <row r="252">
      <c r="D252" s="55"/>
    </row>
    <row r="253">
      <c r="D253" s="55"/>
    </row>
    <row r="254">
      <c r="D254" s="55"/>
    </row>
    <row r="255">
      <c r="D255" s="55"/>
    </row>
    <row r="256">
      <c r="D256" s="55"/>
    </row>
    <row r="257">
      <c r="D257" s="55"/>
    </row>
    <row r="258">
      <c r="D258" s="55"/>
    </row>
    <row r="259">
      <c r="D259" s="55"/>
    </row>
    <row r="260">
      <c r="D260" s="55"/>
    </row>
    <row r="261">
      <c r="D261" s="55"/>
    </row>
    <row r="262">
      <c r="D262" s="55"/>
    </row>
    <row r="263">
      <c r="D263" s="55"/>
    </row>
    <row r="264">
      <c r="D264" s="55"/>
    </row>
    <row r="265">
      <c r="D265" s="55"/>
    </row>
    <row r="266">
      <c r="D266" s="55"/>
    </row>
    <row r="267">
      <c r="D267" s="55"/>
    </row>
    <row r="268">
      <c r="D268" s="55"/>
    </row>
    <row r="269">
      <c r="D269" s="55"/>
    </row>
    <row r="270">
      <c r="D270" s="55"/>
    </row>
    <row r="271">
      <c r="D271" s="55"/>
    </row>
    <row r="272">
      <c r="D272" s="55"/>
    </row>
    <row r="273">
      <c r="D273" s="55"/>
    </row>
    <row r="274">
      <c r="D274" s="55"/>
    </row>
    <row r="275">
      <c r="D275" s="55"/>
    </row>
    <row r="276">
      <c r="D276" s="55"/>
    </row>
    <row r="277">
      <c r="D277" s="55"/>
    </row>
    <row r="278">
      <c r="D278" s="55"/>
    </row>
    <row r="279">
      <c r="D279" s="55"/>
    </row>
    <row r="280">
      <c r="D280" s="55"/>
    </row>
    <row r="281">
      <c r="D281" s="55"/>
    </row>
    <row r="282">
      <c r="D282" s="55"/>
    </row>
    <row r="283">
      <c r="D283" s="55"/>
    </row>
    <row r="284">
      <c r="D284" s="55"/>
    </row>
    <row r="285">
      <c r="D285" s="55"/>
    </row>
    <row r="286">
      <c r="D286" s="55"/>
    </row>
    <row r="287">
      <c r="D287" s="55"/>
    </row>
    <row r="288">
      <c r="D288" s="55"/>
    </row>
    <row r="289">
      <c r="D289" s="55"/>
    </row>
    <row r="290">
      <c r="D290" s="55"/>
    </row>
    <row r="291">
      <c r="D291" s="55"/>
    </row>
    <row r="292">
      <c r="D292" s="55"/>
    </row>
    <row r="293">
      <c r="D293" s="55"/>
    </row>
    <row r="294">
      <c r="D294" s="55"/>
    </row>
    <row r="295">
      <c r="D295" s="55"/>
    </row>
    <row r="296">
      <c r="D296" s="55"/>
    </row>
    <row r="297">
      <c r="D297" s="55"/>
    </row>
    <row r="298">
      <c r="D298" s="55"/>
    </row>
    <row r="299">
      <c r="D299" s="55"/>
    </row>
    <row r="300">
      <c r="D300" s="55"/>
    </row>
    <row r="301">
      <c r="D301" s="55"/>
    </row>
    <row r="302">
      <c r="D302" s="55"/>
    </row>
    <row r="303">
      <c r="D303" s="55"/>
    </row>
    <row r="304">
      <c r="D304" s="55"/>
    </row>
    <row r="305">
      <c r="D305" s="55"/>
    </row>
    <row r="306">
      <c r="D306" s="55"/>
    </row>
    <row r="307">
      <c r="D307" s="55"/>
    </row>
    <row r="308">
      <c r="D308" s="55"/>
    </row>
    <row r="309">
      <c r="D309" s="55"/>
    </row>
    <row r="310">
      <c r="D310" s="55"/>
    </row>
    <row r="311">
      <c r="D311" s="55"/>
    </row>
    <row r="312">
      <c r="D312" s="55"/>
    </row>
    <row r="313">
      <c r="D313" s="55"/>
    </row>
    <row r="314">
      <c r="D314" s="55"/>
    </row>
    <row r="315">
      <c r="D315" s="55"/>
    </row>
    <row r="316">
      <c r="D316" s="55"/>
    </row>
    <row r="317">
      <c r="D317" s="55"/>
    </row>
    <row r="318">
      <c r="D318" s="55"/>
    </row>
    <row r="319">
      <c r="D319" s="55"/>
    </row>
    <row r="320">
      <c r="D320" s="55"/>
    </row>
    <row r="321">
      <c r="D321" s="55"/>
    </row>
    <row r="322">
      <c r="D322" s="55"/>
    </row>
    <row r="323">
      <c r="D323" s="55"/>
    </row>
    <row r="324">
      <c r="D324" s="55"/>
    </row>
    <row r="325">
      <c r="D325" s="55"/>
    </row>
    <row r="326">
      <c r="D326" s="55"/>
    </row>
    <row r="327">
      <c r="D327" s="55"/>
    </row>
    <row r="328">
      <c r="D328" s="55"/>
    </row>
    <row r="329">
      <c r="D329" s="55"/>
    </row>
    <row r="330">
      <c r="D330" s="55"/>
    </row>
    <row r="331">
      <c r="D331" s="55"/>
    </row>
    <row r="332">
      <c r="D332" s="55"/>
    </row>
    <row r="333">
      <c r="D333" s="55"/>
    </row>
    <row r="334">
      <c r="D334" s="55"/>
    </row>
    <row r="335">
      <c r="D335" s="55"/>
    </row>
    <row r="336">
      <c r="D336" s="55"/>
    </row>
    <row r="337">
      <c r="D337" s="55"/>
    </row>
    <row r="338">
      <c r="D338" s="55"/>
    </row>
    <row r="339">
      <c r="D339" s="55"/>
    </row>
    <row r="340">
      <c r="D340" s="55"/>
    </row>
    <row r="341">
      <c r="D341" s="55"/>
    </row>
    <row r="342">
      <c r="D342" s="55"/>
    </row>
    <row r="343">
      <c r="D343" s="55"/>
    </row>
    <row r="344">
      <c r="D344" s="55"/>
    </row>
    <row r="345">
      <c r="D345" s="55"/>
    </row>
    <row r="346">
      <c r="D346" s="55"/>
    </row>
    <row r="347">
      <c r="D347" s="55"/>
    </row>
    <row r="348">
      <c r="D348" s="55"/>
    </row>
    <row r="349">
      <c r="D349" s="55"/>
    </row>
    <row r="350">
      <c r="D350" s="55"/>
    </row>
    <row r="351">
      <c r="D351" s="55"/>
    </row>
    <row r="352">
      <c r="D352" s="55"/>
    </row>
    <row r="353">
      <c r="D353" s="55"/>
    </row>
    <row r="354">
      <c r="D354" s="55"/>
    </row>
    <row r="355">
      <c r="D355" s="55"/>
    </row>
    <row r="356">
      <c r="D356" s="55"/>
    </row>
    <row r="357">
      <c r="D357" s="55"/>
    </row>
    <row r="358">
      <c r="D358" s="55"/>
    </row>
    <row r="359">
      <c r="D359" s="55"/>
    </row>
    <row r="360">
      <c r="D360" s="55"/>
    </row>
    <row r="361">
      <c r="D361" s="55"/>
    </row>
    <row r="362">
      <c r="D362" s="55"/>
    </row>
    <row r="363">
      <c r="D363" s="55"/>
    </row>
    <row r="364">
      <c r="D364" s="55"/>
    </row>
    <row r="365">
      <c r="D365" s="55"/>
    </row>
    <row r="366">
      <c r="D366" s="55"/>
    </row>
    <row r="367">
      <c r="D367" s="55"/>
    </row>
    <row r="368">
      <c r="D368" s="55"/>
    </row>
    <row r="369">
      <c r="D369" s="55"/>
    </row>
    <row r="370">
      <c r="D370" s="55"/>
    </row>
    <row r="371">
      <c r="D371" s="55"/>
    </row>
    <row r="372">
      <c r="D372" s="55"/>
    </row>
    <row r="373">
      <c r="D373" s="55"/>
    </row>
    <row r="374">
      <c r="D374" s="55"/>
    </row>
    <row r="375">
      <c r="D375" s="55"/>
    </row>
    <row r="376">
      <c r="D376" s="55"/>
    </row>
    <row r="377">
      <c r="D377" s="55"/>
    </row>
    <row r="378">
      <c r="D378" s="55"/>
    </row>
    <row r="379">
      <c r="D379" s="55"/>
    </row>
    <row r="380">
      <c r="D380" s="55"/>
    </row>
    <row r="381">
      <c r="D381" s="55"/>
    </row>
    <row r="382">
      <c r="D382" s="55"/>
    </row>
    <row r="383">
      <c r="D383" s="55"/>
    </row>
    <row r="384">
      <c r="D384" s="55"/>
    </row>
    <row r="385">
      <c r="D385" s="55"/>
    </row>
    <row r="386">
      <c r="D386" s="55"/>
    </row>
    <row r="387">
      <c r="D387" s="55"/>
    </row>
    <row r="388">
      <c r="D388" s="55"/>
    </row>
    <row r="389">
      <c r="D389" s="55"/>
    </row>
    <row r="390">
      <c r="D390" s="55"/>
    </row>
    <row r="391">
      <c r="D391" s="55"/>
    </row>
    <row r="392">
      <c r="D392" s="55"/>
    </row>
    <row r="393">
      <c r="D393" s="55"/>
    </row>
    <row r="394">
      <c r="D394" s="55"/>
    </row>
    <row r="395">
      <c r="D395" s="55"/>
    </row>
    <row r="396">
      <c r="D396" s="55"/>
    </row>
    <row r="397">
      <c r="D397" s="55"/>
    </row>
    <row r="398">
      <c r="D398" s="55"/>
    </row>
    <row r="399">
      <c r="D399" s="55"/>
    </row>
    <row r="400">
      <c r="D400" s="55"/>
    </row>
    <row r="401">
      <c r="D401" s="55"/>
    </row>
    <row r="402">
      <c r="D402" s="55"/>
    </row>
    <row r="403">
      <c r="D403" s="55"/>
    </row>
    <row r="404">
      <c r="D404" s="55"/>
    </row>
    <row r="405">
      <c r="D405" s="55"/>
    </row>
    <row r="406">
      <c r="D406" s="55"/>
    </row>
    <row r="407">
      <c r="D407" s="55"/>
    </row>
    <row r="408">
      <c r="D408" s="55"/>
    </row>
    <row r="409">
      <c r="D409" s="55"/>
    </row>
    <row r="410">
      <c r="D410" s="55"/>
    </row>
    <row r="411">
      <c r="D411" s="55"/>
    </row>
    <row r="412">
      <c r="D412" s="55"/>
    </row>
    <row r="413">
      <c r="D413" s="55"/>
    </row>
    <row r="414">
      <c r="D414" s="55"/>
    </row>
    <row r="415">
      <c r="D415" s="55"/>
    </row>
    <row r="416">
      <c r="D416" s="55"/>
    </row>
    <row r="417">
      <c r="D417" s="55"/>
    </row>
    <row r="418">
      <c r="D418" s="55"/>
    </row>
    <row r="419">
      <c r="D419" s="55"/>
    </row>
    <row r="420">
      <c r="D420" s="55"/>
    </row>
    <row r="421">
      <c r="D421" s="55"/>
    </row>
    <row r="422">
      <c r="D422" s="55"/>
    </row>
    <row r="423">
      <c r="D423" s="55"/>
    </row>
    <row r="424">
      <c r="D424" s="55"/>
    </row>
    <row r="425">
      <c r="D425" s="55"/>
    </row>
    <row r="426">
      <c r="D426" s="55"/>
    </row>
    <row r="427">
      <c r="D427" s="55"/>
    </row>
    <row r="428">
      <c r="D428" s="55"/>
    </row>
    <row r="429">
      <c r="D429" s="55"/>
    </row>
    <row r="430">
      <c r="D430" s="55"/>
    </row>
    <row r="431">
      <c r="D431" s="55"/>
    </row>
    <row r="432">
      <c r="D432" s="55"/>
    </row>
    <row r="433">
      <c r="D433" s="55"/>
    </row>
    <row r="434">
      <c r="D434" s="55"/>
    </row>
    <row r="435">
      <c r="D435" s="55"/>
    </row>
    <row r="436">
      <c r="D436" s="55"/>
    </row>
    <row r="437">
      <c r="D437" s="55"/>
    </row>
    <row r="438">
      <c r="D438" s="55"/>
    </row>
    <row r="439">
      <c r="D439" s="55"/>
    </row>
    <row r="440">
      <c r="D440" s="55"/>
    </row>
    <row r="441">
      <c r="D441" s="55"/>
    </row>
    <row r="442">
      <c r="D442" s="55"/>
    </row>
    <row r="443">
      <c r="D443" s="55"/>
    </row>
    <row r="444">
      <c r="D444" s="55"/>
    </row>
    <row r="445">
      <c r="D445" s="55"/>
    </row>
    <row r="446">
      <c r="D446" s="55"/>
    </row>
    <row r="447">
      <c r="D447" s="55"/>
    </row>
    <row r="448">
      <c r="D448" s="55"/>
    </row>
    <row r="449">
      <c r="D449" s="55"/>
    </row>
    <row r="450">
      <c r="D450" s="55"/>
    </row>
    <row r="451">
      <c r="D451" s="55"/>
    </row>
    <row r="452">
      <c r="D452" s="55"/>
    </row>
    <row r="453">
      <c r="D453" s="55"/>
    </row>
    <row r="454">
      <c r="D454" s="55"/>
    </row>
    <row r="455">
      <c r="D455" s="55"/>
    </row>
    <row r="456">
      <c r="D456" s="55"/>
    </row>
    <row r="457">
      <c r="D457" s="55"/>
    </row>
    <row r="458">
      <c r="D458" s="55"/>
    </row>
    <row r="459">
      <c r="D459" s="55"/>
    </row>
    <row r="460">
      <c r="D460" s="55"/>
    </row>
    <row r="461">
      <c r="D461" s="55"/>
    </row>
    <row r="462">
      <c r="D462" s="55"/>
    </row>
    <row r="463">
      <c r="D463" s="55"/>
    </row>
    <row r="464">
      <c r="D464" s="55"/>
    </row>
    <row r="465">
      <c r="D465" s="55"/>
    </row>
    <row r="466">
      <c r="D466" s="55"/>
    </row>
    <row r="467">
      <c r="D467" s="55"/>
    </row>
    <row r="468">
      <c r="D468" s="55"/>
    </row>
    <row r="469">
      <c r="D469" s="55"/>
    </row>
    <row r="470">
      <c r="D470" s="55"/>
    </row>
    <row r="471">
      <c r="D471" s="55"/>
    </row>
    <row r="472">
      <c r="D472" s="55"/>
    </row>
    <row r="473">
      <c r="D473" s="55"/>
    </row>
    <row r="474">
      <c r="D474" s="55"/>
    </row>
    <row r="475">
      <c r="D475" s="55"/>
    </row>
    <row r="476">
      <c r="D476" s="55"/>
    </row>
    <row r="477">
      <c r="D477" s="55"/>
    </row>
    <row r="478">
      <c r="D478" s="55"/>
    </row>
    <row r="479">
      <c r="D479" s="55"/>
    </row>
    <row r="480">
      <c r="D480" s="55"/>
    </row>
    <row r="481">
      <c r="D481" s="55"/>
    </row>
    <row r="482">
      <c r="D482" s="55"/>
    </row>
    <row r="483">
      <c r="D483" s="55"/>
    </row>
    <row r="484">
      <c r="D484" s="55"/>
    </row>
    <row r="485">
      <c r="D485" s="55"/>
    </row>
    <row r="486">
      <c r="D486" s="55"/>
    </row>
    <row r="487">
      <c r="D487" s="55"/>
    </row>
    <row r="488">
      <c r="D488" s="55"/>
    </row>
    <row r="489">
      <c r="D489" s="55"/>
    </row>
    <row r="490">
      <c r="D490" s="55"/>
    </row>
    <row r="491">
      <c r="D491" s="55"/>
    </row>
    <row r="492">
      <c r="D492" s="55"/>
    </row>
    <row r="493">
      <c r="D493" s="55"/>
    </row>
    <row r="494">
      <c r="D494" s="55"/>
    </row>
    <row r="495">
      <c r="D495" s="55"/>
    </row>
    <row r="496">
      <c r="D496" s="55"/>
    </row>
    <row r="497">
      <c r="D497" s="55"/>
    </row>
    <row r="498">
      <c r="D498" s="55"/>
    </row>
    <row r="499">
      <c r="D499" s="55"/>
    </row>
    <row r="500">
      <c r="D500" s="55"/>
    </row>
    <row r="501">
      <c r="D501" s="55"/>
    </row>
    <row r="502">
      <c r="D502" s="55"/>
    </row>
    <row r="503">
      <c r="D503" s="55"/>
    </row>
    <row r="504">
      <c r="D504" s="55"/>
    </row>
    <row r="505">
      <c r="D505" s="55"/>
    </row>
    <row r="506">
      <c r="D506" s="55"/>
    </row>
    <row r="507">
      <c r="D507" s="55"/>
    </row>
    <row r="508">
      <c r="D508" s="55"/>
    </row>
    <row r="509">
      <c r="D509" s="55"/>
    </row>
    <row r="510">
      <c r="D510" s="55"/>
    </row>
    <row r="511">
      <c r="D511" s="55"/>
    </row>
    <row r="512">
      <c r="D512" s="55"/>
    </row>
    <row r="513">
      <c r="D513" s="55"/>
    </row>
    <row r="514">
      <c r="D514" s="55"/>
    </row>
    <row r="515">
      <c r="D515" s="55"/>
    </row>
    <row r="516">
      <c r="D516" s="55"/>
    </row>
    <row r="517">
      <c r="D517" s="55"/>
    </row>
    <row r="518">
      <c r="D518" s="55"/>
    </row>
    <row r="519">
      <c r="D519" s="55"/>
    </row>
    <row r="520">
      <c r="D520" s="55"/>
    </row>
    <row r="521">
      <c r="D521" s="55"/>
    </row>
    <row r="522">
      <c r="D522" s="55"/>
    </row>
    <row r="523">
      <c r="D523" s="55"/>
    </row>
    <row r="524">
      <c r="D524" s="55"/>
    </row>
    <row r="525">
      <c r="D525" s="55"/>
    </row>
    <row r="526">
      <c r="D526" s="55"/>
    </row>
    <row r="527">
      <c r="D527" s="55"/>
    </row>
    <row r="528">
      <c r="D528" s="55"/>
    </row>
    <row r="529">
      <c r="D529" s="55"/>
    </row>
    <row r="530">
      <c r="D530" s="55"/>
    </row>
    <row r="531">
      <c r="D531" s="55"/>
    </row>
    <row r="532">
      <c r="D532" s="55"/>
    </row>
    <row r="533">
      <c r="D533" s="55"/>
    </row>
    <row r="534">
      <c r="D534" s="55"/>
    </row>
    <row r="535">
      <c r="D535" s="55"/>
    </row>
    <row r="536">
      <c r="D536" s="55"/>
    </row>
    <row r="537">
      <c r="D537" s="55"/>
    </row>
    <row r="538">
      <c r="D538" s="55"/>
    </row>
    <row r="539">
      <c r="D539" s="55"/>
    </row>
    <row r="540">
      <c r="D540" s="55"/>
    </row>
    <row r="541">
      <c r="D541" s="55"/>
    </row>
    <row r="542">
      <c r="D542" s="55"/>
    </row>
    <row r="543">
      <c r="D543" s="55"/>
    </row>
    <row r="544">
      <c r="D544" s="55"/>
    </row>
    <row r="545">
      <c r="D545" s="55"/>
    </row>
    <row r="546">
      <c r="D546" s="55"/>
    </row>
    <row r="547">
      <c r="D547" s="55"/>
    </row>
    <row r="548">
      <c r="D548" s="55"/>
    </row>
    <row r="549">
      <c r="D549" s="55"/>
    </row>
    <row r="550">
      <c r="D550" s="55"/>
    </row>
    <row r="551">
      <c r="D551" s="55"/>
    </row>
    <row r="552">
      <c r="D552" s="55"/>
    </row>
    <row r="553">
      <c r="D553" s="55"/>
    </row>
    <row r="554">
      <c r="D554" s="55"/>
    </row>
    <row r="555">
      <c r="D555" s="55"/>
    </row>
    <row r="556">
      <c r="D556" s="55"/>
    </row>
    <row r="557">
      <c r="D557" s="55"/>
    </row>
    <row r="558">
      <c r="D558" s="55"/>
    </row>
    <row r="559">
      <c r="D559" s="55"/>
    </row>
    <row r="560">
      <c r="D560" s="55"/>
    </row>
    <row r="561">
      <c r="D561" s="55"/>
    </row>
    <row r="562">
      <c r="D562" s="55"/>
    </row>
    <row r="563">
      <c r="D563" s="55"/>
    </row>
    <row r="564">
      <c r="D564" s="55"/>
    </row>
    <row r="565">
      <c r="D565" s="55"/>
    </row>
    <row r="566">
      <c r="D566" s="55"/>
    </row>
    <row r="567">
      <c r="D567" s="55"/>
    </row>
    <row r="568">
      <c r="D568" s="55"/>
    </row>
    <row r="569">
      <c r="D569" s="55"/>
    </row>
    <row r="570">
      <c r="D570" s="55"/>
    </row>
    <row r="571">
      <c r="D571" s="55"/>
    </row>
    <row r="572">
      <c r="D572" s="55"/>
    </row>
    <row r="573">
      <c r="D573" s="55"/>
    </row>
    <row r="574">
      <c r="D574" s="55"/>
    </row>
    <row r="575">
      <c r="D575" s="55"/>
    </row>
    <row r="576">
      <c r="D576" s="55"/>
    </row>
    <row r="577">
      <c r="D577" s="55"/>
    </row>
    <row r="578">
      <c r="D578" s="55"/>
    </row>
    <row r="579">
      <c r="D579" s="55"/>
    </row>
    <row r="580">
      <c r="D580" s="55"/>
    </row>
    <row r="581">
      <c r="D581" s="55"/>
    </row>
    <row r="582">
      <c r="D582" s="55"/>
    </row>
    <row r="583">
      <c r="D583" s="55"/>
    </row>
    <row r="584">
      <c r="D584" s="55"/>
    </row>
    <row r="585">
      <c r="D585" s="55"/>
    </row>
    <row r="586">
      <c r="D586" s="55"/>
    </row>
    <row r="587">
      <c r="D587" s="55"/>
    </row>
    <row r="588">
      <c r="D588" s="55"/>
    </row>
    <row r="589">
      <c r="D589" s="55"/>
    </row>
    <row r="590">
      <c r="D590" s="55"/>
    </row>
    <row r="591">
      <c r="D591" s="55"/>
    </row>
    <row r="592">
      <c r="D592" s="55"/>
    </row>
    <row r="593">
      <c r="D593" s="55"/>
    </row>
    <row r="594">
      <c r="D594" s="55"/>
    </row>
    <row r="595">
      <c r="D595" s="55"/>
    </row>
    <row r="596">
      <c r="D596" s="55"/>
    </row>
    <row r="597">
      <c r="D597" s="55"/>
    </row>
    <row r="598">
      <c r="D598" s="55"/>
    </row>
    <row r="599">
      <c r="D599" s="55"/>
    </row>
    <row r="600">
      <c r="D600" s="55"/>
    </row>
    <row r="601">
      <c r="D601" s="55"/>
    </row>
    <row r="602">
      <c r="D602" s="55"/>
    </row>
    <row r="603">
      <c r="D603" s="55"/>
    </row>
    <row r="604">
      <c r="D604" s="55"/>
    </row>
    <row r="605">
      <c r="D605" s="55"/>
    </row>
    <row r="606">
      <c r="D606" s="55"/>
    </row>
    <row r="607">
      <c r="D607" s="55"/>
    </row>
    <row r="608">
      <c r="D608" s="55"/>
    </row>
    <row r="609">
      <c r="D609" s="55"/>
    </row>
    <row r="610">
      <c r="D610" s="55"/>
    </row>
    <row r="611">
      <c r="D611" s="55"/>
    </row>
    <row r="612">
      <c r="D612" s="55"/>
    </row>
    <row r="613">
      <c r="D613" s="55"/>
    </row>
    <row r="614">
      <c r="D614" s="55"/>
    </row>
    <row r="615">
      <c r="D615" s="55"/>
    </row>
    <row r="616">
      <c r="D616" s="55"/>
    </row>
    <row r="617">
      <c r="D617" s="55"/>
    </row>
    <row r="618">
      <c r="D618" s="55"/>
    </row>
    <row r="619">
      <c r="D619" s="55"/>
    </row>
    <row r="620">
      <c r="D620" s="55"/>
    </row>
    <row r="621">
      <c r="D621" s="55"/>
    </row>
    <row r="622">
      <c r="D622" s="55"/>
    </row>
    <row r="623">
      <c r="D623" s="55"/>
    </row>
    <row r="624">
      <c r="D624" s="55"/>
    </row>
    <row r="625">
      <c r="D625" s="55"/>
    </row>
    <row r="626">
      <c r="D626" s="55"/>
    </row>
    <row r="627">
      <c r="D627" s="55"/>
    </row>
    <row r="628">
      <c r="D628" s="55"/>
    </row>
    <row r="629">
      <c r="D629" s="55"/>
    </row>
    <row r="630">
      <c r="D630" s="55"/>
    </row>
    <row r="631">
      <c r="D631" s="55"/>
    </row>
    <row r="632">
      <c r="D632" s="55"/>
    </row>
    <row r="633">
      <c r="D633" s="55"/>
    </row>
    <row r="634">
      <c r="D634" s="55"/>
    </row>
    <row r="635">
      <c r="D635" s="55"/>
    </row>
    <row r="636">
      <c r="D636" s="55"/>
    </row>
    <row r="637">
      <c r="D637" s="55"/>
    </row>
    <row r="638">
      <c r="D638" s="55"/>
    </row>
    <row r="639">
      <c r="D639" s="55"/>
    </row>
    <row r="640">
      <c r="D640" s="55"/>
    </row>
    <row r="641">
      <c r="D641" s="55"/>
    </row>
    <row r="642">
      <c r="D642" s="55"/>
    </row>
    <row r="643">
      <c r="D643" s="55"/>
    </row>
    <row r="644">
      <c r="D644" s="55"/>
    </row>
    <row r="645">
      <c r="D645" s="55"/>
    </row>
    <row r="646">
      <c r="D646" s="55"/>
    </row>
    <row r="647">
      <c r="D647" s="55"/>
    </row>
    <row r="648">
      <c r="D648" s="55"/>
    </row>
    <row r="649">
      <c r="D649" s="55"/>
    </row>
    <row r="650">
      <c r="D650" s="55"/>
    </row>
    <row r="651">
      <c r="D651" s="55"/>
    </row>
    <row r="652">
      <c r="D652" s="55"/>
    </row>
    <row r="653">
      <c r="D653" s="55"/>
    </row>
    <row r="654">
      <c r="D654" s="55"/>
    </row>
    <row r="655">
      <c r="D655" s="55"/>
    </row>
    <row r="656">
      <c r="D656" s="55"/>
    </row>
    <row r="657">
      <c r="D657" s="55"/>
    </row>
    <row r="658">
      <c r="D658" s="55"/>
    </row>
    <row r="659">
      <c r="D659" s="55"/>
    </row>
    <row r="660">
      <c r="D660" s="55"/>
    </row>
    <row r="661">
      <c r="D661" s="55"/>
    </row>
    <row r="662">
      <c r="D662" s="55"/>
    </row>
    <row r="663">
      <c r="D663" s="55"/>
    </row>
    <row r="664">
      <c r="D664" s="55"/>
    </row>
    <row r="665">
      <c r="D665" s="55"/>
    </row>
    <row r="666">
      <c r="D666" s="55"/>
    </row>
    <row r="667">
      <c r="D667" s="55"/>
    </row>
    <row r="668">
      <c r="D668" s="55"/>
    </row>
    <row r="669">
      <c r="D669" s="55"/>
    </row>
    <row r="670">
      <c r="D670" s="55"/>
    </row>
    <row r="671">
      <c r="D671" s="55"/>
    </row>
    <row r="672">
      <c r="D672" s="55"/>
    </row>
    <row r="673">
      <c r="D673" s="55"/>
    </row>
    <row r="674">
      <c r="D674" s="55"/>
    </row>
    <row r="675">
      <c r="D675" s="55"/>
    </row>
    <row r="676">
      <c r="D676" s="55"/>
    </row>
    <row r="677">
      <c r="D677" s="55"/>
    </row>
    <row r="678">
      <c r="D678" s="55"/>
    </row>
    <row r="679">
      <c r="D679" s="55"/>
    </row>
    <row r="680">
      <c r="D680" s="55"/>
    </row>
    <row r="681">
      <c r="D681" s="55"/>
    </row>
    <row r="682">
      <c r="D682" s="55"/>
    </row>
    <row r="683">
      <c r="D683" s="55"/>
    </row>
    <row r="684">
      <c r="D684" s="55"/>
    </row>
    <row r="685">
      <c r="D685" s="55"/>
    </row>
    <row r="686">
      <c r="D686" s="55"/>
    </row>
    <row r="687">
      <c r="D687" s="55"/>
    </row>
    <row r="688">
      <c r="D688" s="55"/>
    </row>
    <row r="689">
      <c r="D689" s="55"/>
    </row>
    <row r="690">
      <c r="D690" s="55"/>
    </row>
    <row r="691">
      <c r="D691" s="55"/>
    </row>
    <row r="692">
      <c r="D692" s="55"/>
    </row>
    <row r="693">
      <c r="D693" s="55"/>
    </row>
    <row r="694">
      <c r="D694" s="55"/>
    </row>
    <row r="695">
      <c r="D695" s="55"/>
    </row>
    <row r="696">
      <c r="D696" s="55"/>
    </row>
    <row r="697">
      <c r="D697" s="55"/>
    </row>
    <row r="698">
      <c r="D698" s="55"/>
    </row>
    <row r="699">
      <c r="D699" s="55"/>
    </row>
    <row r="700">
      <c r="D700" s="55"/>
    </row>
    <row r="701">
      <c r="D701" s="55"/>
    </row>
    <row r="702">
      <c r="D702" s="55"/>
    </row>
    <row r="703">
      <c r="D703" s="55"/>
    </row>
    <row r="704">
      <c r="D704" s="55"/>
    </row>
    <row r="705">
      <c r="D705" s="55"/>
    </row>
    <row r="706">
      <c r="D706" s="55"/>
    </row>
    <row r="707">
      <c r="D707" s="55"/>
    </row>
    <row r="708">
      <c r="D708" s="55"/>
    </row>
    <row r="709">
      <c r="D709" s="55"/>
    </row>
    <row r="710">
      <c r="D710" s="55"/>
    </row>
    <row r="711">
      <c r="D711" s="55"/>
    </row>
    <row r="712">
      <c r="D712" s="55"/>
    </row>
    <row r="713">
      <c r="D713" s="55"/>
    </row>
    <row r="714">
      <c r="D714" s="55"/>
    </row>
    <row r="715">
      <c r="D715" s="55"/>
    </row>
    <row r="716">
      <c r="D716" s="55"/>
    </row>
    <row r="717">
      <c r="D717" s="55"/>
    </row>
    <row r="718">
      <c r="D718" s="55"/>
    </row>
    <row r="719">
      <c r="D719" s="55"/>
    </row>
    <row r="720">
      <c r="D720" s="55"/>
    </row>
    <row r="721">
      <c r="D721" s="55"/>
    </row>
    <row r="722">
      <c r="D722" s="55"/>
    </row>
    <row r="723">
      <c r="D723" s="55"/>
    </row>
    <row r="724">
      <c r="D724" s="55"/>
    </row>
    <row r="725">
      <c r="D725" s="55"/>
    </row>
    <row r="726">
      <c r="D726" s="55"/>
    </row>
    <row r="727">
      <c r="D727" s="55"/>
    </row>
    <row r="728">
      <c r="D728" s="55"/>
    </row>
    <row r="729">
      <c r="D729" s="55"/>
    </row>
    <row r="730">
      <c r="D730" s="55"/>
    </row>
    <row r="731">
      <c r="D731" s="55"/>
    </row>
    <row r="732">
      <c r="D732" s="55"/>
    </row>
    <row r="733">
      <c r="D733" s="55"/>
    </row>
    <row r="734">
      <c r="D734" s="55"/>
    </row>
    <row r="735">
      <c r="D735" s="55"/>
    </row>
    <row r="736">
      <c r="D736" s="55"/>
    </row>
    <row r="737">
      <c r="D737" s="55"/>
    </row>
    <row r="738">
      <c r="D738" s="55"/>
    </row>
    <row r="739">
      <c r="D739" s="55"/>
    </row>
    <row r="740">
      <c r="D740" s="55"/>
    </row>
    <row r="741">
      <c r="D741" s="55"/>
    </row>
    <row r="742">
      <c r="D742" s="55"/>
    </row>
    <row r="743">
      <c r="D743" s="55"/>
    </row>
    <row r="744">
      <c r="D744" s="55"/>
    </row>
    <row r="745">
      <c r="D745" s="55"/>
    </row>
    <row r="746">
      <c r="D746" s="55"/>
    </row>
    <row r="747">
      <c r="D747" s="55"/>
    </row>
    <row r="748">
      <c r="D748" s="55"/>
    </row>
    <row r="749">
      <c r="D749" s="55"/>
    </row>
    <row r="750">
      <c r="D750" s="55"/>
    </row>
    <row r="751">
      <c r="D751" s="55"/>
    </row>
    <row r="752">
      <c r="D752" s="55"/>
    </row>
    <row r="753">
      <c r="D753" s="55"/>
    </row>
    <row r="754">
      <c r="D754" s="55"/>
    </row>
    <row r="755">
      <c r="D755" s="55"/>
    </row>
    <row r="756">
      <c r="D756" s="55"/>
    </row>
    <row r="757">
      <c r="D757" s="55"/>
    </row>
    <row r="758">
      <c r="D758" s="55"/>
    </row>
    <row r="759">
      <c r="D759" s="55"/>
    </row>
    <row r="760">
      <c r="D760" s="55"/>
    </row>
    <row r="761">
      <c r="D761" s="55"/>
    </row>
    <row r="762">
      <c r="D762" s="55"/>
    </row>
    <row r="763">
      <c r="D763" s="55"/>
    </row>
    <row r="764">
      <c r="D764" s="55"/>
    </row>
    <row r="765">
      <c r="D765" s="55"/>
    </row>
    <row r="766">
      <c r="D766" s="55"/>
    </row>
    <row r="767">
      <c r="D767" s="55"/>
    </row>
    <row r="768">
      <c r="D768" s="55"/>
    </row>
    <row r="769">
      <c r="D769" s="55"/>
    </row>
    <row r="770">
      <c r="D770" s="55"/>
    </row>
    <row r="771">
      <c r="D771" s="55"/>
    </row>
    <row r="772">
      <c r="D772" s="55"/>
    </row>
    <row r="773">
      <c r="D773" s="55"/>
    </row>
    <row r="774">
      <c r="D774" s="55"/>
    </row>
    <row r="775">
      <c r="D775" s="55"/>
    </row>
    <row r="776">
      <c r="D776" s="55"/>
    </row>
    <row r="777">
      <c r="D777" s="55"/>
    </row>
    <row r="778">
      <c r="D778" s="55"/>
    </row>
    <row r="779">
      <c r="D779" s="55"/>
    </row>
    <row r="780">
      <c r="D780" s="55"/>
    </row>
    <row r="781">
      <c r="D781" s="55"/>
    </row>
    <row r="782">
      <c r="D782" s="55"/>
    </row>
    <row r="783">
      <c r="D783" s="55"/>
    </row>
    <row r="784">
      <c r="D784" s="55"/>
    </row>
    <row r="785">
      <c r="D785" s="55"/>
    </row>
    <row r="786">
      <c r="D786" s="55"/>
    </row>
    <row r="787">
      <c r="D787" s="55"/>
    </row>
    <row r="788">
      <c r="D788" s="55"/>
    </row>
    <row r="789">
      <c r="D789" s="55"/>
    </row>
    <row r="790">
      <c r="D790" s="55"/>
    </row>
    <row r="791">
      <c r="D791" s="55"/>
    </row>
    <row r="792">
      <c r="D792" s="55"/>
    </row>
    <row r="793">
      <c r="D793" s="55"/>
    </row>
    <row r="794">
      <c r="D794" s="55"/>
    </row>
    <row r="795">
      <c r="D795" s="55"/>
    </row>
    <row r="796">
      <c r="D796" s="55"/>
    </row>
    <row r="797">
      <c r="D797" s="55"/>
    </row>
    <row r="798">
      <c r="D798" s="55"/>
    </row>
    <row r="799">
      <c r="D799" s="55"/>
    </row>
    <row r="800">
      <c r="D800" s="55"/>
    </row>
    <row r="801">
      <c r="D801" s="55"/>
    </row>
    <row r="802">
      <c r="D802" s="55"/>
    </row>
    <row r="803">
      <c r="D803" s="55"/>
    </row>
    <row r="804">
      <c r="D804" s="55"/>
    </row>
    <row r="805">
      <c r="D805" s="55"/>
    </row>
    <row r="806">
      <c r="D806" s="55"/>
    </row>
    <row r="807">
      <c r="D807" s="55"/>
    </row>
    <row r="808">
      <c r="D808" s="55"/>
    </row>
    <row r="809">
      <c r="D809" s="55"/>
    </row>
    <row r="810">
      <c r="D810" s="55"/>
    </row>
    <row r="811">
      <c r="D811" s="55"/>
    </row>
    <row r="812">
      <c r="D812" s="55"/>
    </row>
    <row r="813">
      <c r="D813" s="55"/>
    </row>
    <row r="814">
      <c r="D814" s="55"/>
    </row>
    <row r="815">
      <c r="D815" s="55"/>
    </row>
    <row r="816">
      <c r="D816" s="55"/>
    </row>
    <row r="817">
      <c r="D817" s="55"/>
    </row>
    <row r="818">
      <c r="D818" s="55"/>
    </row>
    <row r="819">
      <c r="D819" s="55"/>
    </row>
    <row r="820">
      <c r="D820" s="55"/>
    </row>
    <row r="821">
      <c r="D821" s="55"/>
    </row>
    <row r="822">
      <c r="D822" s="55"/>
    </row>
    <row r="823">
      <c r="D823" s="55"/>
    </row>
    <row r="824">
      <c r="D824" s="55"/>
    </row>
    <row r="825">
      <c r="D825" s="55"/>
    </row>
    <row r="826">
      <c r="D826" s="55"/>
    </row>
    <row r="827">
      <c r="D827" s="55"/>
    </row>
    <row r="828">
      <c r="D828" s="55"/>
    </row>
    <row r="829">
      <c r="D829" s="55"/>
    </row>
    <row r="830">
      <c r="D830" s="55"/>
    </row>
    <row r="831">
      <c r="D831" s="55"/>
    </row>
    <row r="832">
      <c r="D832" s="55"/>
    </row>
    <row r="833">
      <c r="D833" s="55"/>
    </row>
    <row r="834">
      <c r="D834" s="55"/>
    </row>
    <row r="835">
      <c r="D835" s="55"/>
    </row>
    <row r="836">
      <c r="D836" s="55"/>
    </row>
    <row r="837">
      <c r="D837" s="55"/>
    </row>
    <row r="838">
      <c r="D838" s="55"/>
    </row>
    <row r="839">
      <c r="D839" s="55"/>
    </row>
    <row r="840">
      <c r="D840" s="55"/>
    </row>
    <row r="841">
      <c r="D841" s="55"/>
    </row>
    <row r="842">
      <c r="D842" s="55"/>
    </row>
    <row r="843">
      <c r="D843" s="55"/>
    </row>
    <row r="844">
      <c r="D844" s="55"/>
    </row>
    <row r="845">
      <c r="D845" s="55"/>
    </row>
    <row r="846">
      <c r="D846" s="55"/>
    </row>
    <row r="847">
      <c r="D847" s="55"/>
    </row>
    <row r="848">
      <c r="D848" s="55"/>
    </row>
    <row r="849">
      <c r="D849" s="55"/>
    </row>
    <row r="850">
      <c r="D850" s="55"/>
    </row>
    <row r="851">
      <c r="D851" s="55"/>
    </row>
    <row r="852">
      <c r="D852" s="55"/>
    </row>
    <row r="853">
      <c r="D853" s="55"/>
    </row>
    <row r="854">
      <c r="D854" s="55"/>
    </row>
    <row r="855">
      <c r="D855" s="55"/>
    </row>
    <row r="856">
      <c r="D856" s="55"/>
    </row>
    <row r="857">
      <c r="D857" s="55"/>
    </row>
    <row r="858">
      <c r="D858" s="55"/>
    </row>
    <row r="859">
      <c r="D859" s="55"/>
    </row>
    <row r="860">
      <c r="D860" s="55"/>
    </row>
    <row r="861">
      <c r="D861" s="55"/>
    </row>
    <row r="862">
      <c r="D862" s="55"/>
    </row>
    <row r="863">
      <c r="D863" s="55"/>
    </row>
    <row r="864">
      <c r="D864" s="55"/>
    </row>
    <row r="865">
      <c r="D865" s="55"/>
    </row>
    <row r="866">
      <c r="D866" s="55"/>
    </row>
    <row r="867">
      <c r="D867" s="55"/>
    </row>
    <row r="868">
      <c r="D868" s="55"/>
    </row>
    <row r="869">
      <c r="D869" s="55"/>
    </row>
    <row r="870">
      <c r="D870" s="55"/>
    </row>
    <row r="871">
      <c r="D871" s="55"/>
    </row>
    <row r="872">
      <c r="D872" s="55"/>
    </row>
    <row r="873">
      <c r="D873" s="55"/>
    </row>
    <row r="874">
      <c r="D874" s="55"/>
    </row>
    <row r="875">
      <c r="D875" s="55"/>
    </row>
    <row r="876">
      <c r="D876" s="55"/>
    </row>
    <row r="877">
      <c r="D877" s="55"/>
    </row>
    <row r="878">
      <c r="D878" s="55"/>
    </row>
    <row r="879">
      <c r="D879" s="55"/>
    </row>
    <row r="880">
      <c r="D880" s="55"/>
    </row>
    <row r="881">
      <c r="D881" s="55"/>
    </row>
    <row r="882">
      <c r="D882" s="55"/>
    </row>
    <row r="883">
      <c r="D883" s="55"/>
    </row>
    <row r="884">
      <c r="D884" s="55"/>
    </row>
    <row r="885">
      <c r="D885" s="55"/>
    </row>
    <row r="886">
      <c r="D886" s="55"/>
    </row>
    <row r="887">
      <c r="D887" s="55"/>
    </row>
    <row r="888">
      <c r="D888" s="55"/>
    </row>
    <row r="889">
      <c r="D889" s="55"/>
    </row>
    <row r="890">
      <c r="D890" s="55"/>
    </row>
    <row r="891">
      <c r="D891" s="55"/>
    </row>
    <row r="892">
      <c r="D892" s="55"/>
    </row>
    <row r="893">
      <c r="D893" s="55"/>
    </row>
    <row r="894">
      <c r="D894" s="55"/>
    </row>
    <row r="895">
      <c r="D895" s="55"/>
    </row>
    <row r="896">
      <c r="D896" s="55"/>
    </row>
    <row r="897">
      <c r="D897" s="55"/>
    </row>
    <row r="898">
      <c r="D898" s="55"/>
    </row>
    <row r="899">
      <c r="D899" s="55"/>
    </row>
    <row r="900">
      <c r="D900" s="55"/>
    </row>
    <row r="901">
      <c r="D901" s="55"/>
    </row>
    <row r="902">
      <c r="D902" s="55"/>
    </row>
    <row r="903">
      <c r="D903" s="55"/>
    </row>
    <row r="904">
      <c r="D904" s="55"/>
    </row>
    <row r="905">
      <c r="D905" s="55"/>
    </row>
    <row r="906">
      <c r="D906" s="55"/>
    </row>
    <row r="907">
      <c r="D907" s="55"/>
    </row>
    <row r="908">
      <c r="D908" s="55"/>
    </row>
    <row r="909">
      <c r="D909" s="55"/>
    </row>
    <row r="910">
      <c r="D910" s="55"/>
    </row>
    <row r="911">
      <c r="D911" s="55"/>
    </row>
    <row r="912">
      <c r="D912" s="55"/>
    </row>
    <row r="913">
      <c r="D913" s="55"/>
    </row>
    <row r="914">
      <c r="D914" s="55"/>
    </row>
    <row r="915">
      <c r="D915" s="55"/>
    </row>
    <row r="916">
      <c r="D916" s="55"/>
    </row>
    <row r="917">
      <c r="D917" s="55"/>
    </row>
    <row r="918">
      <c r="D918" s="55"/>
    </row>
    <row r="919">
      <c r="D919" s="55"/>
    </row>
    <row r="920">
      <c r="D920" s="55"/>
    </row>
    <row r="921">
      <c r="D921" s="55"/>
    </row>
    <row r="922">
      <c r="D922" s="55"/>
    </row>
    <row r="923">
      <c r="D923" s="55"/>
    </row>
    <row r="924">
      <c r="D924" s="55"/>
    </row>
    <row r="925">
      <c r="D925" s="55"/>
    </row>
    <row r="926">
      <c r="D926" s="55"/>
    </row>
    <row r="927">
      <c r="D927" s="55"/>
    </row>
    <row r="928">
      <c r="D928" s="55"/>
    </row>
    <row r="929">
      <c r="D929" s="55"/>
    </row>
    <row r="930">
      <c r="D930" s="55"/>
    </row>
    <row r="931">
      <c r="D931" s="55"/>
    </row>
    <row r="932">
      <c r="D932" s="55"/>
    </row>
    <row r="933">
      <c r="D933" s="55"/>
    </row>
    <row r="934">
      <c r="D934" s="55"/>
    </row>
    <row r="935">
      <c r="D935" s="55"/>
    </row>
    <row r="936">
      <c r="D936" s="55"/>
    </row>
    <row r="937">
      <c r="D937" s="55"/>
    </row>
    <row r="938">
      <c r="D938" s="55"/>
    </row>
    <row r="939">
      <c r="D939" s="55"/>
    </row>
    <row r="940">
      <c r="D940" s="55"/>
    </row>
    <row r="941">
      <c r="D941" s="55"/>
    </row>
    <row r="942">
      <c r="D942" s="55"/>
    </row>
    <row r="943">
      <c r="D943" s="55"/>
    </row>
    <row r="944">
      <c r="D944" s="55"/>
    </row>
    <row r="945">
      <c r="D945" s="55"/>
    </row>
    <row r="946">
      <c r="D946" s="55"/>
    </row>
    <row r="947">
      <c r="D947" s="55"/>
    </row>
    <row r="948">
      <c r="D948" s="55"/>
    </row>
    <row r="949">
      <c r="D949" s="55"/>
    </row>
    <row r="950">
      <c r="D950" s="55"/>
    </row>
    <row r="951">
      <c r="D951" s="55"/>
    </row>
    <row r="952">
      <c r="D952" s="55"/>
    </row>
    <row r="953">
      <c r="D953" s="55"/>
    </row>
    <row r="954">
      <c r="D954" s="55"/>
    </row>
    <row r="955">
      <c r="D955" s="55"/>
    </row>
    <row r="956">
      <c r="D956" s="55"/>
    </row>
    <row r="957">
      <c r="D957" s="55"/>
    </row>
    <row r="958">
      <c r="D958" s="55"/>
    </row>
    <row r="959">
      <c r="D959" s="55"/>
    </row>
    <row r="960">
      <c r="D960" s="55"/>
    </row>
    <row r="961">
      <c r="D961" s="55"/>
    </row>
    <row r="962">
      <c r="D962" s="55"/>
    </row>
    <row r="963">
      <c r="D963" s="55"/>
    </row>
    <row r="964">
      <c r="D964" s="55"/>
    </row>
    <row r="965">
      <c r="D965" s="55"/>
    </row>
    <row r="966">
      <c r="D966" s="55"/>
    </row>
    <row r="967">
      <c r="D967" s="55"/>
    </row>
    <row r="968">
      <c r="D968" s="55"/>
    </row>
    <row r="969">
      <c r="D969" s="55"/>
    </row>
    <row r="970">
      <c r="D970" s="55"/>
    </row>
    <row r="971">
      <c r="D971" s="55"/>
    </row>
    <row r="972">
      <c r="D972" s="55"/>
    </row>
    <row r="973">
      <c r="D973" s="55"/>
    </row>
    <row r="974">
      <c r="D974" s="55"/>
    </row>
    <row r="975">
      <c r="D975" s="55"/>
    </row>
    <row r="976">
      <c r="D976" s="55"/>
    </row>
    <row r="977">
      <c r="D977" s="55"/>
    </row>
    <row r="978">
      <c r="D978" s="55"/>
    </row>
    <row r="979">
      <c r="D979" s="55"/>
    </row>
    <row r="980">
      <c r="D980" s="55"/>
    </row>
    <row r="981">
      <c r="D981" s="55"/>
    </row>
    <row r="982">
      <c r="D982" s="55"/>
    </row>
    <row r="983">
      <c r="D983" s="55"/>
    </row>
    <row r="984">
      <c r="D984" s="55"/>
    </row>
    <row r="985">
      <c r="D985" s="55"/>
    </row>
    <row r="986">
      <c r="D986" s="55"/>
    </row>
    <row r="987">
      <c r="D987" s="55"/>
    </row>
    <row r="988">
      <c r="D988" s="55"/>
    </row>
    <row r="989">
      <c r="D989" s="55"/>
    </row>
    <row r="990">
      <c r="D990" s="55"/>
    </row>
    <row r="991">
      <c r="D991" s="55"/>
    </row>
    <row r="992">
      <c r="D992" s="55"/>
    </row>
    <row r="993">
      <c r="D993" s="55"/>
    </row>
    <row r="994">
      <c r="D994" s="55"/>
    </row>
    <row r="995">
      <c r="D995" s="55"/>
    </row>
    <row r="996">
      <c r="D996" s="55"/>
    </row>
    <row r="997">
      <c r="D997" s="55"/>
    </row>
    <row r="998">
      <c r="D998" s="55"/>
    </row>
    <row r="999">
      <c r="D999" s="55"/>
    </row>
    <row r="1000">
      <c r="D1000" s="55"/>
    </row>
  </sheetData>
  <mergeCells count="6">
    <mergeCell ref="A28:H28"/>
    <mergeCell ref="A2:G2"/>
    <mergeCell ref="A11:G11"/>
    <mergeCell ref="G4:G9"/>
    <mergeCell ref="G13:G26"/>
    <mergeCell ref="H30:H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7" max="7" width="21.63"/>
    <col customWidth="1" min="8" max="8" width="20.88"/>
  </cols>
  <sheetData>
    <row r="1">
      <c r="A1" s="15"/>
      <c r="B1" s="15"/>
      <c r="C1" s="15"/>
      <c r="D1" s="15"/>
      <c r="E1" s="15"/>
      <c r="F1" s="15"/>
      <c r="G1" s="15"/>
      <c r="H1" s="15"/>
    </row>
    <row r="2">
      <c r="A2" s="56" t="s">
        <v>1</v>
      </c>
      <c r="H2" s="15"/>
    </row>
    <row r="3">
      <c r="A3" s="40" t="s">
        <v>2</v>
      </c>
      <c r="B3" s="40" t="s">
        <v>3</v>
      </c>
      <c r="C3" s="40" t="s">
        <v>4</v>
      </c>
      <c r="D3" s="40" t="s">
        <v>5</v>
      </c>
      <c r="E3" s="40" t="s">
        <v>6</v>
      </c>
      <c r="F3" s="40" t="s">
        <v>7</v>
      </c>
      <c r="G3" s="5" t="s">
        <v>8</v>
      </c>
      <c r="H3" s="15"/>
    </row>
    <row r="4">
      <c r="A4" s="7" t="s">
        <v>47</v>
      </c>
      <c r="B4" s="7" t="s">
        <v>10</v>
      </c>
      <c r="C4" s="7">
        <v>1190.0</v>
      </c>
      <c r="D4" s="13">
        <v>98.17</v>
      </c>
      <c r="E4" s="19">
        <f t="shared" ref="E4:E8" si="1">C4*D4</f>
        <v>116822.3</v>
      </c>
      <c r="F4" s="10">
        <f>E4/SUM(E4:E9)</f>
        <v>0.1117995167</v>
      </c>
      <c r="G4" s="44">
        <f>SUM(E4:E9)</f>
        <v>1044926.7</v>
      </c>
      <c r="H4" s="15"/>
    </row>
    <row r="5">
      <c r="A5" s="7" t="s">
        <v>9</v>
      </c>
      <c r="B5" s="7" t="s">
        <v>48</v>
      </c>
      <c r="C5" s="7">
        <v>1310.0</v>
      </c>
      <c r="D5" s="13">
        <v>85.06</v>
      </c>
      <c r="E5" s="19">
        <f t="shared" si="1"/>
        <v>111428.6</v>
      </c>
      <c r="F5" s="10">
        <f>E5/SUM(E4:E9)</f>
        <v>0.1066377192</v>
      </c>
      <c r="G5" s="12"/>
      <c r="H5" s="15"/>
    </row>
    <row r="6">
      <c r="A6" s="7" t="s">
        <v>11</v>
      </c>
      <c r="B6" s="7" t="s">
        <v>12</v>
      </c>
      <c r="C6" s="7">
        <v>1500.0</v>
      </c>
      <c r="D6" s="13">
        <v>108.17</v>
      </c>
      <c r="E6" s="19">
        <f t="shared" si="1"/>
        <v>162255</v>
      </c>
      <c r="F6" s="10">
        <f>E6/SUM(E4:E9)</f>
        <v>0.1552788344</v>
      </c>
      <c r="G6" s="12"/>
      <c r="H6" s="15"/>
    </row>
    <row r="7">
      <c r="A7" s="7" t="s">
        <v>13</v>
      </c>
      <c r="B7" s="7" t="s">
        <v>14</v>
      </c>
      <c r="C7" s="7">
        <v>200.0</v>
      </c>
      <c r="D7" s="13">
        <v>737.55</v>
      </c>
      <c r="E7" s="19">
        <f t="shared" si="1"/>
        <v>147510</v>
      </c>
      <c r="F7" s="10">
        <f>E7/SUM(E4:E9)</f>
        <v>0.1411677967</v>
      </c>
      <c r="G7" s="12"/>
      <c r="H7" s="15"/>
    </row>
    <row r="8">
      <c r="A8" s="7" t="s">
        <v>15</v>
      </c>
      <c r="B8" s="7" t="s">
        <v>14</v>
      </c>
      <c r="C8" s="7">
        <v>180.0</v>
      </c>
      <c r="D8" s="8">
        <v>705.06</v>
      </c>
      <c r="E8" s="19">
        <f t="shared" si="1"/>
        <v>126910.8</v>
      </c>
      <c r="F8" s="10">
        <f>E8/SUM(E4:E9)</f>
        <v>0.1214542609</v>
      </c>
      <c r="G8" s="12"/>
      <c r="H8" s="15"/>
    </row>
    <row r="9">
      <c r="A9" s="7" t="s">
        <v>16</v>
      </c>
      <c r="B9" s="7" t="s">
        <v>17</v>
      </c>
      <c r="C9" s="7">
        <v>380000.0</v>
      </c>
      <c r="D9" s="13" t="s">
        <v>18</v>
      </c>
      <c r="E9" s="19">
        <f>C9</f>
        <v>380000</v>
      </c>
      <c r="F9" s="10">
        <f>E9/SUM(E4:E9)</f>
        <v>0.3636618722</v>
      </c>
      <c r="G9" s="14"/>
      <c r="H9" s="15"/>
    </row>
    <row r="10">
      <c r="A10" s="46"/>
      <c r="B10" s="15"/>
      <c r="C10" s="15"/>
      <c r="D10" s="15"/>
      <c r="E10" s="15"/>
      <c r="F10" s="15"/>
      <c r="G10" s="15"/>
      <c r="H10" s="15"/>
    </row>
    <row r="11">
      <c r="A11" s="18" t="s">
        <v>19</v>
      </c>
      <c r="H11" s="15"/>
    </row>
    <row r="12">
      <c r="A12" s="40" t="s">
        <v>2</v>
      </c>
      <c r="B12" s="40" t="s">
        <v>3</v>
      </c>
      <c r="C12" s="40" t="s">
        <v>4</v>
      </c>
      <c r="D12" s="40" t="s">
        <v>5</v>
      </c>
      <c r="E12" s="40" t="s">
        <v>6</v>
      </c>
      <c r="F12" s="40" t="s">
        <v>7</v>
      </c>
      <c r="G12" s="5" t="s">
        <v>8</v>
      </c>
      <c r="H12" s="15"/>
    </row>
    <row r="13">
      <c r="A13" s="7" t="s">
        <v>20</v>
      </c>
      <c r="B13" s="7" t="s">
        <v>21</v>
      </c>
      <c r="C13" s="7">
        <v>230.0</v>
      </c>
      <c r="D13" s="13">
        <v>205.1</v>
      </c>
      <c r="E13" s="42">
        <f t="shared" ref="E13:E25" si="2">D13*C13</f>
        <v>47173</v>
      </c>
      <c r="F13" s="43">
        <f>E13/SUM(E13:E26)</f>
        <v>0.0498785882</v>
      </c>
      <c r="G13" s="44">
        <f>SUM(E13:E26)</f>
        <v>945756.52</v>
      </c>
      <c r="H13" s="15"/>
    </row>
    <row r="14">
      <c r="A14" s="7" t="s">
        <v>22</v>
      </c>
      <c r="B14" s="7" t="s">
        <v>21</v>
      </c>
      <c r="C14" s="7">
        <v>140.0</v>
      </c>
      <c r="D14" s="13">
        <v>416.67</v>
      </c>
      <c r="E14" s="42">
        <f t="shared" si="2"/>
        <v>58333.8</v>
      </c>
      <c r="F14" s="43">
        <f>E14/SUM(E13:E26)</f>
        <v>0.06167951134</v>
      </c>
      <c r="G14" s="12"/>
      <c r="H14" s="15"/>
    </row>
    <row r="15">
      <c r="A15" s="7" t="s">
        <v>23</v>
      </c>
      <c r="B15" s="7" t="s">
        <v>21</v>
      </c>
      <c r="C15" s="7">
        <v>200.0</v>
      </c>
      <c r="D15" s="13">
        <v>307.34</v>
      </c>
      <c r="E15" s="42">
        <f t="shared" si="2"/>
        <v>61468</v>
      </c>
      <c r="F15" s="43">
        <f>E15/SUM(E13:E26)</f>
        <v>0.0649934721</v>
      </c>
      <c r="G15" s="12"/>
      <c r="H15" s="15"/>
    </row>
    <row r="16">
      <c r="A16" s="7" t="s">
        <v>24</v>
      </c>
      <c r="B16" s="7" t="s">
        <v>21</v>
      </c>
      <c r="C16" s="7">
        <v>180.0</v>
      </c>
      <c r="D16" s="13">
        <v>246.03</v>
      </c>
      <c r="E16" s="42">
        <f t="shared" si="2"/>
        <v>44285.4</v>
      </c>
      <c r="F16" s="43">
        <f>E16/SUM(E13:E26)</f>
        <v>0.04682537108</v>
      </c>
      <c r="G16" s="12"/>
      <c r="H16" s="15"/>
    </row>
    <row r="17">
      <c r="A17" s="7" t="s">
        <v>25</v>
      </c>
      <c r="B17" s="7" t="s">
        <v>21</v>
      </c>
      <c r="C17" s="7">
        <v>180.0</v>
      </c>
      <c r="D17" s="13">
        <v>368.53</v>
      </c>
      <c r="E17" s="42">
        <f t="shared" si="2"/>
        <v>66335.4</v>
      </c>
      <c r="F17" s="43">
        <f>E17/SUM(E13:E26)</f>
        <v>0.07014003985</v>
      </c>
      <c r="G17" s="12"/>
      <c r="H17" s="15"/>
    </row>
    <row r="18">
      <c r="A18" s="7" t="s">
        <v>26</v>
      </c>
      <c r="B18" s="7" t="s">
        <v>21</v>
      </c>
      <c r="C18" s="7">
        <v>130.0</v>
      </c>
      <c r="D18" s="13">
        <v>385.73</v>
      </c>
      <c r="E18" s="42">
        <f t="shared" si="2"/>
        <v>50144.9</v>
      </c>
      <c r="F18" s="43">
        <f>E18/SUM(E13:E26)</f>
        <v>0.05302094032</v>
      </c>
      <c r="G18" s="12"/>
      <c r="H18" s="15"/>
    </row>
    <row r="19">
      <c r="A19" s="7" t="s">
        <v>27</v>
      </c>
      <c r="B19" s="7" t="s">
        <v>21</v>
      </c>
      <c r="C19" s="7">
        <v>140.0</v>
      </c>
      <c r="D19" s="13">
        <v>415.17</v>
      </c>
      <c r="E19" s="42">
        <f t="shared" si="2"/>
        <v>58123.8</v>
      </c>
      <c r="F19" s="43">
        <f>E19/SUM(E13:E26)</f>
        <v>0.06145746688</v>
      </c>
      <c r="G19" s="12"/>
      <c r="H19" s="15"/>
    </row>
    <row r="20">
      <c r="A20" s="7" t="s">
        <v>28</v>
      </c>
      <c r="B20" s="7" t="s">
        <v>21</v>
      </c>
      <c r="C20" s="7">
        <v>130.0</v>
      </c>
      <c r="D20" s="13">
        <v>391.0</v>
      </c>
      <c r="E20" s="42">
        <f t="shared" si="2"/>
        <v>50830</v>
      </c>
      <c r="F20" s="43">
        <f>E20/SUM(E13:E26)</f>
        <v>0.05374533395</v>
      </c>
      <c r="G20" s="12"/>
      <c r="H20" s="15"/>
    </row>
    <row r="21">
      <c r="A21" s="7" t="s">
        <v>13</v>
      </c>
      <c r="B21" s="7" t="s">
        <v>14</v>
      </c>
      <c r="C21" s="7">
        <v>120.0</v>
      </c>
      <c r="D21" s="13">
        <v>737.55</v>
      </c>
      <c r="E21" s="42">
        <f t="shared" si="2"/>
        <v>88506</v>
      </c>
      <c r="F21" s="43">
        <f>E21/SUM(E13:E26)</f>
        <v>0.09358222558</v>
      </c>
      <c r="G21" s="12"/>
      <c r="H21" s="15"/>
    </row>
    <row r="22">
      <c r="A22" s="7" t="s">
        <v>15</v>
      </c>
      <c r="B22" s="7" t="s">
        <v>14</v>
      </c>
      <c r="C22" s="7">
        <v>110.0</v>
      </c>
      <c r="D22" s="8">
        <v>705.06</v>
      </c>
      <c r="E22" s="42">
        <f t="shared" si="2"/>
        <v>77556.6</v>
      </c>
      <c r="F22" s="43">
        <f>E22/SUM(E13:E26)</f>
        <v>0.0820048272</v>
      </c>
      <c r="G22" s="12"/>
      <c r="H22" s="15"/>
    </row>
    <row r="23">
      <c r="A23" s="7" t="s">
        <v>49</v>
      </c>
      <c r="B23" s="7" t="s">
        <v>14</v>
      </c>
      <c r="C23" s="7">
        <v>4.0</v>
      </c>
      <c r="D23" s="48">
        <v>4742.0</v>
      </c>
      <c r="E23" s="42">
        <f t="shared" si="2"/>
        <v>18968</v>
      </c>
      <c r="F23" s="43">
        <f>E23/SUM(E13:E26)</f>
        <v>0.02005590191</v>
      </c>
      <c r="G23" s="12"/>
      <c r="H23" s="15"/>
    </row>
    <row r="24">
      <c r="A24" s="7" t="s">
        <v>30</v>
      </c>
      <c r="B24" s="7" t="s">
        <v>31</v>
      </c>
      <c r="C24" s="7">
        <v>24.0</v>
      </c>
      <c r="D24" s="13">
        <v>4327.88</v>
      </c>
      <c r="E24" s="42">
        <f t="shared" si="2"/>
        <v>103869.12</v>
      </c>
      <c r="F24" s="43">
        <f>E24/SUM(E13:E26)</f>
        <v>0.1098264911</v>
      </c>
      <c r="G24" s="12"/>
      <c r="H24" s="15"/>
    </row>
    <row r="25">
      <c r="A25" s="7" t="s">
        <v>51</v>
      </c>
      <c r="B25" s="7" t="s">
        <v>31</v>
      </c>
      <c r="C25" s="7">
        <v>150.0</v>
      </c>
      <c r="D25" s="7">
        <v>67.75</v>
      </c>
      <c r="E25" s="42">
        <f t="shared" si="2"/>
        <v>10162.5</v>
      </c>
      <c r="F25" s="43">
        <f>E25/SUM(E13:E26)</f>
        <v>0.01074536605</v>
      </c>
      <c r="G25" s="12"/>
      <c r="H25" s="15"/>
    </row>
    <row r="26">
      <c r="A26" s="7" t="s">
        <v>16</v>
      </c>
      <c r="B26" s="7" t="s">
        <v>17</v>
      </c>
      <c r="C26" s="7">
        <v>210000.0</v>
      </c>
      <c r="D26" s="45" t="s">
        <v>18</v>
      </c>
      <c r="E26" s="42">
        <f>C26</f>
        <v>210000</v>
      </c>
      <c r="F26" s="43">
        <f>E26/SUM(E13:E26)</f>
        <v>0.2220444645</v>
      </c>
      <c r="G26" s="14"/>
      <c r="H26" s="15"/>
    </row>
    <row r="27">
      <c r="A27" s="46"/>
      <c r="B27" s="15"/>
      <c r="C27" s="15"/>
      <c r="D27" s="15"/>
      <c r="E27" s="15"/>
      <c r="F27" s="15"/>
      <c r="G27" s="15"/>
      <c r="H27" s="15"/>
    </row>
    <row r="28">
      <c r="A28" s="57" t="s">
        <v>32</v>
      </c>
      <c r="B28" s="58"/>
      <c r="C28" s="58"/>
      <c r="D28" s="58"/>
      <c r="E28" s="58"/>
      <c r="F28" s="58"/>
      <c r="G28" s="58"/>
      <c r="H28" s="59"/>
    </row>
    <row r="29">
      <c r="A29" s="40" t="s">
        <v>2</v>
      </c>
      <c r="B29" s="40" t="s">
        <v>3</v>
      </c>
      <c r="C29" s="40" t="s">
        <v>4</v>
      </c>
      <c r="D29" s="40" t="s">
        <v>5</v>
      </c>
      <c r="E29" s="40" t="s">
        <v>6</v>
      </c>
      <c r="F29" s="40" t="s">
        <v>7</v>
      </c>
      <c r="G29" s="50" t="s">
        <v>33</v>
      </c>
      <c r="H29" s="5" t="s">
        <v>8</v>
      </c>
    </row>
    <row r="30">
      <c r="A30" s="7" t="s">
        <v>20</v>
      </c>
      <c r="B30" s="7" t="s">
        <v>21</v>
      </c>
      <c r="C30" s="24">
        <v>130.0</v>
      </c>
      <c r="D30" s="13">
        <v>205.1</v>
      </c>
      <c r="E30" s="19">
        <f t="shared" ref="E30:E43" si="3">D30*C30</f>
        <v>26663</v>
      </c>
      <c r="F30" s="10">
        <f>E30/SUM(E30:E48)</f>
        <v>0.02409140294</v>
      </c>
      <c r="G30" s="29"/>
      <c r="H30" s="44">
        <f>SUM(E30:E48)</f>
        <v>1106743.35</v>
      </c>
    </row>
    <row r="31">
      <c r="A31" s="7" t="s">
        <v>28</v>
      </c>
      <c r="B31" s="7" t="s">
        <v>21</v>
      </c>
      <c r="C31" s="24">
        <v>290.0</v>
      </c>
      <c r="D31" s="13">
        <v>391.0</v>
      </c>
      <c r="E31" s="19">
        <f t="shared" si="3"/>
        <v>113390</v>
      </c>
      <c r="F31" s="10">
        <f>E31/SUM(E30:E48)</f>
        <v>0.1024537441</v>
      </c>
      <c r="G31" s="29"/>
      <c r="H31" s="12"/>
    </row>
    <row r="32">
      <c r="A32" s="7" t="s">
        <v>22</v>
      </c>
      <c r="B32" s="7" t="s">
        <v>21</v>
      </c>
      <c r="C32" s="24">
        <v>60.0</v>
      </c>
      <c r="D32" s="13">
        <v>416.67</v>
      </c>
      <c r="E32" s="19">
        <f t="shared" si="3"/>
        <v>25000.2</v>
      </c>
      <c r="F32" s="10">
        <f>E32/SUM(E30:E48)</f>
        <v>0.02258897693</v>
      </c>
      <c r="G32" s="29"/>
      <c r="H32" s="12"/>
    </row>
    <row r="33">
      <c r="A33" s="7" t="s">
        <v>23</v>
      </c>
      <c r="B33" s="7" t="s">
        <v>21</v>
      </c>
      <c r="C33" s="24">
        <v>160.0</v>
      </c>
      <c r="D33" s="13">
        <v>307.34</v>
      </c>
      <c r="E33" s="19">
        <f t="shared" si="3"/>
        <v>49174.4</v>
      </c>
      <c r="F33" s="10">
        <f>E33/SUM(E30:E48)</f>
        <v>0.04443162003</v>
      </c>
      <c r="G33" s="29"/>
      <c r="H33" s="12"/>
    </row>
    <row r="34">
      <c r="A34" s="7" t="s">
        <v>25</v>
      </c>
      <c r="B34" s="7" t="s">
        <v>21</v>
      </c>
      <c r="C34" s="24">
        <v>170.0</v>
      </c>
      <c r="D34" s="13">
        <v>368.53</v>
      </c>
      <c r="E34" s="19">
        <f t="shared" si="3"/>
        <v>62650.1</v>
      </c>
      <c r="F34" s="10">
        <f>E34/SUM(E30:E48)</f>
        <v>0.05660761368</v>
      </c>
      <c r="G34" s="29"/>
      <c r="H34" s="12"/>
    </row>
    <row r="35">
      <c r="A35" s="7" t="s">
        <v>35</v>
      </c>
      <c r="B35" s="7" t="s">
        <v>21</v>
      </c>
      <c r="C35" s="24">
        <v>400.0</v>
      </c>
      <c r="D35" s="24">
        <v>152.4</v>
      </c>
      <c r="E35" s="19">
        <f t="shared" si="3"/>
        <v>60960</v>
      </c>
      <c r="F35" s="10">
        <f>E35/SUM(E30:E48)</f>
        <v>0.0550805207</v>
      </c>
      <c r="G35" s="29"/>
      <c r="H35" s="12"/>
    </row>
    <row r="36">
      <c r="A36" s="7" t="s">
        <v>34</v>
      </c>
      <c r="B36" s="7" t="s">
        <v>21</v>
      </c>
      <c r="C36" s="24">
        <v>370.0</v>
      </c>
      <c r="D36" s="24">
        <v>135.53</v>
      </c>
      <c r="E36" s="19">
        <f t="shared" si="3"/>
        <v>50146.1</v>
      </c>
      <c r="F36" s="10">
        <f>E36/SUM(E30:E48)</f>
        <v>0.04530960136</v>
      </c>
      <c r="G36" s="29"/>
      <c r="H36" s="12"/>
    </row>
    <row r="37">
      <c r="A37" s="7" t="s">
        <v>36</v>
      </c>
      <c r="B37" s="7" t="s">
        <v>21</v>
      </c>
      <c r="C37" s="24">
        <v>320.0</v>
      </c>
      <c r="D37" s="24">
        <v>173.45</v>
      </c>
      <c r="E37" s="19">
        <f t="shared" si="3"/>
        <v>55504</v>
      </c>
      <c r="F37" s="10">
        <f>E37/SUM(E30:E48)</f>
        <v>0.05015074181</v>
      </c>
      <c r="G37" s="29"/>
      <c r="H37" s="12"/>
    </row>
    <row r="38">
      <c r="A38" s="7" t="s">
        <v>37</v>
      </c>
      <c r="B38" s="7" t="s">
        <v>21</v>
      </c>
      <c r="C38" s="24">
        <v>450.0</v>
      </c>
      <c r="D38" s="24">
        <v>120.44</v>
      </c>
      <c r="E38" s="19">
        <f t="shared" si="3"/>
        <v>54198</v>
      </c>
      <c r="F38" s="10">
        <f>E38/SUM(E30:E48)</f>
        <v>0.0489707031</v>
      </c>
      <c r="G38" s="29"/>
      <c r="H38" s="12"/>
    </row>
    <row r="39">
      <c r="A39" s="7" t="s">
        <v>13</v>
      </c>
      <c r="B39" s="7" t="s">
        <v>14</v>
      </c>
      <c r="C39" s="24">
        <v>100.0</v>
      </c>
      <c r="D39" s="13">
        <v>737.55</v>
      </c>
      <c r="E39" s="19">
        <f t="shared" si="3"/>
        <v>73755</v>
      </c>
      <c r="F39" s="10">
        <f>E39/SUM(E30:E48)</f>
        <v>0.06664146661</v>
      </c>
      <c r="G39" s="29"/>
      <c r="H39" s="12"/>
    </row>
    <row r="40">
      <c r="A40" s="7" t="s">
        <v>15</v>
      </c>
      <c r="B40" s="7" t="s">
        <v>14</v>
      </c>
      <c r="C40" s="24">
        <v>130.0</v>
      </c>
      <c r="D40" s="8">
        <v>705.06</v>
      </c>
      <c r="E40" s="19">
        <f t="shared" si="3"/>
        <v>91657.8</v>
      </c>
      <c r="F40" s="10">
        <f>E40/SUM(E30:E48)</f>
        <v>0.08281757464</v>
      </c>
      <c r="G40" s="29"/>
      <c r="H40" s="12"/>
    </row>
    <row r="41">
      <c r="A41" s="7" t="s">
        <v>49</v>
      </c>
      <c r="B41" s="7" t="s">
        <v>14</v>
      </c>
      <c r="C41" s="24">
        <v>3.0</v>
      </c>
      <c r="D41" s="48">
        <v>4742.0</v>
      </c>
      <c r="E41" s="19">
        <f t="shared" si="3"/>
        <v>14226</v>
      </c>
      <c r="F41" s="10">
        <f>E41/SUM(E30:E48)</f>
        <v>0.0128539286</v>
      </c>
      <c r="G41" s="29"/>
      <c r="H41" s="12"/>
    </row>
    <row r="42">
      <c r="A42" s="7" t="s">
        <v>38</v>
      </c>
      <c r="B42" s="7" t="s">
        <v>39</v>
      </c>
      <c r="C42" s="24">
        <v>3.0</v>
      </c>
      <c r="D42" s="24">
        <v>8116.75</v>
      </c>
      <c r="E42" s="19">
        <f t="shared" si="3"/>
        <v>24350.25</v>
      </c>
      <c r="F42" s="10">
        <f>E42/SUM(E30:E48)</f>
        <v>0.02200171341</v>
      </c>
      <c r="G42" s="53" t="s">
        <v>40</v>
      </c>
      <c r="H42" s="12"/>
    </row>
    <row r="43">
      <c r="A43" s="7" t="s">
        <v>41</v>
      </c>
      <c r="B43" s="7" t="s">
        <v>39</v>
      </c>
      <c r="C43" s="24">
        <v>2.0</v>
      </c>
      <c r="D43" s="24">
        <v>31579.25</v>
      </c>
      <c r="E43" s="19">
        <f t="shared" si="3"/>
        <v>63158.5</v>
      </c>
      <c r="F43" s="10">
        <f>E43/SUM(E30:E48)</f>
        <v>0.05706697944</v>
      </c>
      <c r="G43" s="53" t="s">
        <v>42</v>
      </c>
      <c r="H43" s="12"/>
    </row>
    <row r="44">
      <c r="A44" s="28" t="s">
        <v>57</v>
      </c>
      <c r="B44" s="7" t="s">
        <v>44</v>
      </c>
      <c r="C44" s="24">
        <v>5.0</v>
      </c>
      <c r="D44" s="24">
        <v>88.75</v>
      </c>
      <c r="E44" s="29">
        <f>(D44*C44)*100</f>
        <v>44375</v>
      </c>
      <c r="F44" s="30">
        <f>E44/SUM(E30:E48)</f>
        <v>0.04009511329</v>
      </c>
      <c r="G44" s="54" t="s">
        <v>40</v>
      </c>
      <c r="H44" s="12"/>
    </row>
    <row r="45">
      <c r="A45" s="28" t="s">
        <v>58</v>
      </c>
      <c r="B45" s="7" t="s">
        <v>44</v>
      </c>
      <c r="C45" s="24">
        <v>3.0</v>
      </c>
      <c r="D45" s="24">
        <v>139.5</v>
      </c>
      <c r="E45" s="29">
        <f t="shared" ref="E45:E47" si="4">(D45*C44)*100</f>
        <v>69750</v>
      </c>
      <c r="F45" s="30">
        <f>E45/SUM(E30:E48)</f>
        <v>0.06302274145</v>
      </c>
      <c r="G45" s="54" t="s">
        <v>40</v>
      </c>
      <c r="H45" s="12"/>
    </row>
    <row r="46">
      <c r="A46" s="28" t="s">
        <v>59</v>
      </c>
      <c r="B46" s="7" t="s">
        <v>44</v>
      </c>
      <c r="C46" s="24">
        <v>6.0</v>
      </c>
      <c r="D46" s="24">
        <v>171.95</v>
      </c>
      <c r="E46" s="29">
        <f t="shared" si="4"/>
        <v>51585</v>
      </c>
      <c r="F46" s="30">
        <f>E46/SUM(E30:E48)</f>
        <v>0.04660972212</v>
      </c>
      <c r="G46" s="54" t="s">
        <v>40</v>
      </c>
      <c r="H46" s="12"/>
    </row>
    <row r="47">
      <c r="A47" s="28" t="s">
        <v>60</v>
      </c>
      <c r="B47" s="7" t="s">
        <v>44</v>
      </c>
      <c r="C47" s="24">
        <v>2.0</v>
      </c>
      <c r="D47" s="24">
        <v>77.0</v>
      </c>
      <c r="E47" s="29">
        <f t="shared" si="4"/>
        <v>46200</v>
      </c>
      <c r="F47" s="30">
        <f>E47/SUM(E30:E48)</f>
        <v>0.04174409541</v>
      </c>
      <c r="G47" s="54" t="s">
        <v>54</v>
      </c>
      <c r="H47" s="12"/>
    </row>
    <row r="48">
      <c r="A48" s="24" t="s">
        <v>16</v>
      </c>
      <c r="B48" s="7" t="s">
        <v>17</v>
      </c>
      <c r="C48" s="24">
        <v>130000.0</v>
      </c>
      <c r="D48" s="24" t="s">
        <v>18</v>
      </c>
      <c r="E48" s="29">
        <f>C48</f>
        <v>130000</v>
      </c>
      <c r="F48" s="30">
        <f>E48/SUM(E30:E48)</f>
        <v>0.1174617403</v>
      </c>
      <c r="G48" s="29"/>
      <c r="H48" s="14"/>
    </row>
  </sheetData>
  <mergeCells count="6">
    <mergeCell ref="G4:G9"/>
    <mergeCell ref="A2:G2"/>
    <mergeCell ref="A11:G11"/>
    <mergeCell ref="A28:H28"/>
    <mergeCell ref="G13:G26"/>
    <mergeCell ref="H30:H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7" max="7" width="18.5"/>
    <col customWidth="1" min="8" max="8" width="19.5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>
      <c r="A2" s="3" t="s">
        <v>1</v>
      </c>
      <c r="H2" s="15"/>
      <c r="I2" s="15"/>
      <c r="J2" s="15"/>
    </row>
    <row r="3">
      <c r="A3" s="40" t="s">
        <v>2</v>
      </c>
      <c r="B3" s="40" t="s">
        <v>3</v>
      </c>
      <c r="C3" s="40" t="s">
        <v>4</v>
      </c>
      <c r="D3" s="40" t="s">
        <v>5</v>
      </c>
      <c r="E3" s="60" t="s">
        <v>6</v>
      </c>
      <c r="F3" s="40" t="s">
        <v>7</v>
      </c>
      <c r="G3" s="5" t="s">
        <v>8</v>
      </c>
      <c r="H3" s="15"/>
      <c r="I3" s="15"/>
      <c r="J3" s="15"/>
    </row>
    <row r="4">
      <c r="A4" s="7" t="s">
        <v>9</v>
      </c>
      <c r="B4" s="7" t="s">
        <v>61</v>
      </c>
      <c r="C4" s="7">
        <v>1965.0</v>
      </c>
      <c r="D4" s="48">
        <v>85.06</v>
      </c>
      <c r="E4" s="29">
        <f t="shared" ref="E4:E7" si="1">D4*C4</f>
        <v>167142.9</v>
      </c>
      <c r="F4" s="61">
        <f>E4/SUM(E4:E8)</f>
        <v>0.2016424612</v>
      </c>
      <c r="G4" s="44">
        <f>SUM(E4:E8)</f>
        <v>828907.26</v>
      </c>
      <c r="H4" s="15"/>
      <c r="I4" s="15"/>
      <c r="J4" s="15"/>
    </row>
    <row r="5">
      <c r="A5" s="7" t="s">
        <v>11</v>
      </c>
      <c r="B5" s="7" t="s">
        <v>61</v>
      </c>
      <c r="C5" s="7">
        <v>1603.0</v>
      </c>
      <c r="D5" s="48">
        <v>108.17</v>
      </c>
      <c r="E5" s="29">
        <f t="shared" si="1"/>
        <v>173396.51</v>
      </c>
      <c r="F5" s="61">
        <f>E5/SUM(E4:E8)</f>
        <v>0.2091868637</v>
      </c>
      <c r="G5" s="12"/>
      <c r="H5" s="15"/>
      <c r="I5" s="15"/>
      <c r="J5" s="15"/>
    </row>
    <row r="6">
      <c r="A6" s="7" t="s">
        <v>13</v>
      </c>
      <c r="B6" s="7" t="s">
        <v>14</v>
      </c>
      <c r="C6" s="7">
        <v>227.0</v>
      </c>
      <c r="D6" s="62">
        <v>737.55</v>
      </c>
      <c r="E6" s="29">
        <f t="shared" si="1"/>
        <v>167423.85</v>
      </c>
      <c r="F6" s="61">
        <f>E6/SUM(E4:E8)</f>
        <v>0.2019814014</v>
      </c>
      <c r="G6" s="12"/>
      <c r="H6" s="15"/>
      <c r="I6" s="15"/>
      <c r="J6" s="15"/>
    </row>
    <row r="7">
      <c r="A7" s="7" t="s">
        <v>49</v>
      </c>
      <c r="B7" s="7" t="s">
        <v>14</v>
      </c>
      <c r="C7" s="7">
        <v>12.0</v>
      </c>
      <c r="D7" s="48">
        <v>4742.0</v>
      </c>
      <c r="E7" s="29">
        <f t="shared" si="1"/>
        <v>56904</v>
      </c>
      <c r="F7" s="61">
        <f>E7/SUM(E4:E8)</f>
        <v>0.06864941682</v>
      </c>
      <c r="G7" s="12"/>
      <c r="H7" s="15"/>
      <c r="I7" s="15"/>
      <c r="J7" s="15"/>
    </row>
    <row r="8">
      <c r="A8" s="28" t="s">
        <v>16</v>
      </c>
      <c r="B8" s="28" t="s">
        <v>17</v>
      </c>
      <c r="C8" s="24">
        <v>264040.0</v>
      </c>
      <c r="D8" s="24" t="s">
        <v>18</v>
      </c>
      <c r="E8" s="29">
        <f>C8</f>
        <v>264040</v>
      </c>
      <c r="F8" s="30">
        <f>E8/SUM(E4:E8)</f>
        <v>0.3185398569</v>
      </c>
      <c r="G8" s="14"/>
      <c r="H8" s="15"/>
      <c r="I8" s="15"/>
      <c r="J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</row>
    <row r="10">
      <c r="A10" s="63" t="s">
        <v>19</v>
      </c>
      <c r="H10" s="15"/>
      <c r="I10" s="15"/>
      <c r="J10" s="15"/>
    </row>
    <row r="11">
      <c r="A11" s="40" t="s">
        <v>2</v>
      </c>
      <c r="B11" s="40" t="s">
        <v>3</v>
      </c>
      <c r="C11" s="40" t="s">
        <v>4</v>
      </c>
      <c r="D11" s="40" t="s">
        <v>5</v>
      </c>
      <c r="E11" s="40" t="s">
        <v>6</v>
      </c>
      <c r="F11" s="40" t="s">
        <v>7</v>
      </c>
      <c r="G11" s="5" t="s">
        <v>8</v>
      </c>
      <c r="H11" s="15"/>
      <c r="I11" s="15"/>
      <c r="J11" s="15"/>
    </row>
    <row r="12">
      <c r="A12" s="7" t="s">
        <v>20</v>
      </c>
      <c r="B12" s="7" t="s">
        <v>21</v>
      </c>
      <c r="C12" s="7">
        <v>100.0</v>
      </c>
      <c r="D12" s="13">
        <v>205.1</v>
      </c>
      <c r="E12" s="19">
        <f t="shared" ref="E12:E22" si="2">D12*C12</f>
        <v>20510</v>
      </c>
      <c r="F12" s="10">
        <f>E12/SUM(E12:E23)</f>
        <v>0.03021802356</v>
      </c>
      <c r="G12" s="44">
        <f>SUM(E12:E23)</f>
        <v>678734</v>
      </c>
      <c r="H12" s="15"/>
      <c r="I12" s="15"/>
      <c r="J12" s="15"/>
    </row>
    <row r="13">
      <c r="A13" s="7" t="s">
        <v>22</v>
      </c>
      <c r="B13" s="7" t="s">
        <v>21</v>
      </c>
      <c r="C13" s="7">
        <v>201.0</v>
      </c>
      <c r="D13" s="13">
        <v>416.67</v>
      </c>
      <c r="E13" s="19">
        <f t="shared" si="2"/>
        <v>83750.67</v>
      </c>
      <c r="F13" s="10">
        <f>E13/SUM(E12:E23)</f>
        <v>0.1233924778</v>
      </c>
      <c r="G13" s="12"/>
      <c r="H13" s="15"/>
      <c r="I13" s="15"/>
      <c r="J13" s="15"/>
    </row>
    <row r="14">
      <c r="A14" s="7" t="s">
        <v>23</v>
      </c>
      <c r="B14" s="7" t="s">
        <v>21</v>
      </c>
      <c r="C14" s="7">
        <v>140.0</v>
      </c>
      <c r="D14" s="13">
        <v>307.34</v>
      </c>
      <c r="E14" s="19">
        <f t="shared" si="2"/>
        <v>43027.6</v>
      </c>
      <c r="F14" s="10">
        <f>E14/SUM(E12:E23)</f>
        <v>0.06339390689</v>
      </c>
      <c r="G14" s="12"/>
      <c r="H14" s="15"/>
      <c r="I14" s="15"/>
      <c r="J14" s="15"/>
    </row>
    <row r="15">
      <c r="A15" s="7" t="s">
        <v>25</v>
      </c>
      <c r="B15" s="7" t="s">
        <v>21</v>
      </c>
      <c r="C15" s="7">
        <v>123.0</v>
      </c>
      <c r="D15" s="13">
        <v>368.53</v>
      </c>
      <c r="E15" s="19">
        <f t="shared" si="2"/>
        <v>45329.19</v>
      </c>
      <c r="F15" s="10">
        <f>E15/SUM(E12:E23)</f>
        <v>0.06678491132</v>
      </c>
      <c r="G15" s="12"/>
      <c r="H15" s="15"/>
      <c r="I15" s="15"/>
      <c r="J15" s="15"/>
    </row>
    <row r="16">
      <c r="A16" s="7" t="s">
        <v>24</v>
      </c>
      <c r="B16" s="7" t="s">
        <v>21</v>
      </c>
      <c r="C16" s="7">
        <v>220.0</v>
      </c>
      <c r="D16" s="13">
        <v>246.03</v>
      </c>
      <c r="E16" s="19">
        <f t="shared" si="2"/>
        <v>54126.6</v>
      </c>
      <c r="F16" s="10">
        <f>E16/SUM(E12:E23)</f>
        <v>0.07974641023</v>
      </c>
      <c r="G16" s="12"/>
      <c r="H16" s="15"/>
      <c r="I16" s="15"/>
      <c r="J16" s="15"/>
    </row>
    <row r="17">
      <c r="A17" s="7" t="s">
        <v>27</v>
      </c>
      <c r="B17" s="7" t="s">
        <v>21</v>
      </c>
      <c r="C17" s="7">
        <v>130.0</v>
      </c>
      <c r="D17" s="13">
        <v>415.17</v>
      </c>
      <c r="E17" s="19">
        <f t="shared" si="2"/>
        <v>53972.1</v>
      </c>
      <c r="F17" s="10">
        <f>E17/SUM(E12:E23)</f>
        <v>0.07951878055</v>
      </c>
      <c r="G17" s="12"/>
      <c r="H17" s="15"/>
      <c r="I17" s="15"/>
      <c r="J17" s="15"/>
    </row>
    <row r="18">
      <c r="A18" s="7" t="s">
        <v>28</v>
      </c>
      <c r="B18" s="7" t="s">
        <v>21</v>
      </c>
      <c r="C18" s="7">
        <v>129.0</v>
      </c>
      <c r="D18" s="13">
        <v>391.0</v>
      </c>
      <c r="E18" s="19">
        <f t="shared" si="2"/>
        <v>50439</v>
      </c>
      <c r="F18" s="10">
        <f>E18/SUM(E12:E23)</f>
        <v>0.07431335398</v>
      </c>
      <c r="G18" s="12"/>
      <c r="H18" s="15"/>
      <c r="I18" s="15"/>
      <c r="J18" s="15"/>
    </row>
    <row r="19">
      <c r="A19" s="7" t="s">
        <v>13</v>
      </c>
      <c r="B19" s="7" t="s">
        <v>14</v>
      </c>
      <c r="C19" s="7">
        <v>80.0</v>
      </c>
      <c r="D19" s="13">
        <v>737.55</v>
      </c>
      <c r="E19" s="19">
        <f t="shared" si="2"/>
        <v>59004</v>
      </c>
      <c r="F19" s="10">
        <f>E19/SUM(E12:E23)</f>
        <v>0.08693243598</v>
      </c>
      <c r="G19" s="12"/>
      <c r="H19" s="15"/>
      <c r="I19" s="15"/>
      <c r="J19" s="15"/>
    </row>
    <row r="20">
      <c r="A20" s="7" t="s">
        <v>15</v>
      </c>
      <c r="B20" s="7" t="s">
        <v>14</v>
      </c>
      <c r="C20" s="7">
        <v>50.0</v>
      </c>
      <c r="D20" s="8">
        <v>705.06</v>
      </c>
      <c r="E20" s="19">
        <f t="shared" si="2"/>
        <v>35253</v>
      </c>
      <c r="F20" s="10">
        <f>E20/SUM(E12:E23)</f>
        <v>0.0519393459</v>
      </c>
      <c r="G20" s="12"/>
      <c r="H20" s="15"/>
      <c r="I20" s="15"/>
      <c r="J20" s="15"/>
    </row>
    <row r="21">
      <c r="A21" s="7" t="s">
        <v>30</v>
      </c>
      <c r="B21" s="7" t="s">
        <v>31</v>
      </c>
      <c r="C21" s="7">
        <v>18.0</v>
      </c>
      <c r="D21" s="7">
        <v>4327.88</v>
      </c>
      <c r="E21" s="19">
        <f t="shared" si="2"/>
        <v>77901.84</v>
      </c>
      <c r="F21" s="10">
        <f>E21/SUM(E12:E23)</f>
        <v>0.1147752139</v>
      </c>
      <c r="G21" s="12"/>
      <c r="H21" s="15"/>
      <c r="I21" s="15"/>
      <c r="J21" s="15"/>
    </row>
    <row r="22">
      <c r="A22" s="7" t="s">
        <v>51</v>
      </c>
      <c r="B22" s="7" t="s">
        <v>31</v>
      </c>
      <c r="C22" s="7">
        <v>80.0</v>
      </c>
      <c r="D22" s="7">
        <v>67.75</v>
      </c>
      <c r="E22" s="19">
        <f t="shared" si="2"/>
        <v>5420</v>
      </c>
      <c r="F22" s="10">
        <f>E22/SUM(E12:E23)</f>
        <v>0.007985455274</v>
      </c>
      <c r="G22" s="12"/>
      <c r="H22" s="15"/>
      <c r="I22" s="15"/>
      <c r="J22" s="15"/>
    </row>
    <row r="23">
      <c r="A23" s="7" t="s">
        <v>16</v>
      </c>
      <c r="B23" s="7" t="s">
        <v>17</v>
      </c>
      <c r="C23" s="7">
        <v>150000.0</v>
      </c>
      <c r="D23" s="7" t="s">
        <v>18</v>
      </c>
      <c r="E23" s="19">
        <f>C23</f>
        <v>150000</v>
      </c>
      <c r="F23" s="10">
        <f>E23/SUM(E12:E23)</f>
        <v>0.2209996847</v>
      </c>
      <c r="G23" s="14"/>
      <c r="H23" s="15"/>
      <c r="I23" s="15"/>
      <c r="J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>
      <c r="A25" s="64" t="s">
        <v>32</v>
      </c>
      <c r="I25" s="15"/>
      <c r="J25" s="15"/>
    </row>
    <row r="26">
      <c r="A26" s="40" t="s">
        <v>2</v>
      </c>
      <c r="B26" s="40" t="s">
        <v>3</v>
      </c>
      <c r="C26" s="40" t="s">
        <v>4</v>
      </c>
      <c r="D26" s="40" t="s">
        <v>5</v>
      </c>
      <c r="E26" s="65" t="s">
        <v>6</v>
      </c>
      <c r="F26" s="40" t="s">
        <v>7</v>
      </c>
      <c r="G26" s="50" t="s">
        <v>33</v>
      </c>
      <c r="H26" s="5" t="s">
        <v>8</v>
      </c>
      <c r="I26" s="17"/>
      <c r="J26" s="17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>
      <c r="A27" s="7" t="s">
        <v>20</v>
      </c>
      <c r="B27" s="7" t="s">
        <v>21</v>
      </c>
      <c r="C27" s="7">
        <v>130.0</v>
      </c>
      <c r="D27" s="13">
        <v>205.1</v>
      </c>
      <c r="E27" s="66">
        <f t="shared" ref="E27:E37" si="3">D27*C27</f>
        <v>26663</v>
      </c>
      <c r="F27" s="10">
        <f>E27/SUM(E27:E42)</f>
        <v>0.03385831091</v>
      </c>
      <c r="G27" s="51"/>
      <c r="H27" s="44">
        <f>SUM(E27:E42)</f>
        <v>787487.6</v>
      </c>
      <c r="I27" s="15"/>
      <c r="J27" s="15"/>
    </row>
    <row r="28">
      <c r="A28" s="7" t="s">
        <v>28</v>
      </c>
      <c r="B28" s="7" t="s">
        <v>21</v>
      </c>
      <c r="C28" s="7">
        <v>90.0</v>
      </c>
      <c r="D28" s="13">
        <v>391.0</v>
      </c>
      <c r="E28" s="66">
        <f t="shared" si="3"/>
        <v>35190</v>
      </c>
      <c r="F28" s="31">
        <f>E28/SUM(E27:E42)</f>
        <v>0.04468641792</v>
      </c>
      <c r="G28" s="51"/>
      <c r="H28" s="12"/>
      <c r="I28" s="15"/>
      <c r="J28" s="15"/>
    </row>
    <row r="29">
      <c r="A29" s="7" t="s">
        <v>34</v>
      </c>
      <c r="B29" s="7" t="s">
        <v>21</v>
      </c>
      <c r="C29" s="7">
        <v>140.0</v>
      </c>
      <c r="D29" s="24">
        <v>135.53</v>
      </c>
      <c r="E29" s="66">
        <f t="shared" si="3"/>
        <v>18974.2</v>
      </c>
      <c r="F29" s="31">
        <f>E29/SUM(E27:E42)</f>
        <v>0.02409460162</v>
      </c>
      <c r="G29" s="51"/>
      <c r="H29" s="12"/>
      <c r="I29" s="15"/>
      <c r="J29" s="15"/>
    </row>
    <row r="30">
      <c r="A30" s="7" t="s">
        <v>35</v>
      </c>
      <c r="B30" s="7" t="s">
        <v>21</v>
      </c>
      <c r="C30" s="7">
        <v>300.0</v>
      </c>
      <c r="D30" s="24">
        <v>152.4</v>
      </c>
      <c r="E30" s="66">
        <f t="shared" si="3"/>
        <v>45720</v>
      </c>
      <c r="F30" s="10">
        <f>E30/SUM(E27:E42)</f>
        <v>0.05805805704</v>
      </c>
      <c r="G30" s="51"/>
      <c r="H30" s="12"/>
      <c r="I30" s="15"/>
      <c r="J30" s="15"/>
    </row>
    <row r="31">
      <c r="A31" s="7" t="s">
        <v>36</v>
      </c>
      <c r="B31" s="7" t="s">
        <v>21</v>
      </c>
      <c r="C31" s="7">
        <v>230.0</v>
      </c>
      <c r="D31" s="24">
        <v>173.45</v>
      </c>
      <c r="E31" s="66">
        <f t="shared" si="3"/>
        <v>39893.5</v>
      </c>
      <c r="F31" s="10">
        <f>E31/SUM(E27:E42)</f>
        <v>0.05065921038</v>
      </c>
      <c r="G31" s="51"/>
      <c r="H31" s="12"/>
      <c r="I31" s="15"/>
      <c r="J31" s="15"/>
    </row>
    <row r="32">
      <c r="A32" s="7" t="s">
        <v>22</v>
      </c>
      <c r="B32" s="7" t="s">
        <v>21</v>
      </c>
      <c r="C32" s="7">
        <v>180.0</v>
      </c>
      <c r="D32" s="13">
        <v>416.67</v>
      </c>
      <c r="E32" s="66">
        <f t="shared" si="3"/>
        <v>75000.6</v>
      </c>
      <c r="F32" s="10">
        <f>E32/SUM(E27:E42)</f>
        <v>0.0952403568</v>
      </c>
      <c r="G32" s="51"/>
      <c r="H32" s="12"/>
      <c r="I32" s="15"/>
      <c r="J32" s="15"/>
    </row>
    <row r="33">
      <c r="A33" s="7" t="s">
        <v>23</v>
      </c>
      <c r="B33" s="7" t="s">
        <v>21</v>
      </c>
      <c r="C33" s="7">
        <v>160.0</v>
      </c>
      <c r="D33" s="13">
        <v>307.34</v>
      </c>
      <c r="E33" s="66">
        <f t="shared" si="3"/>
        <v>49174.4</v>
      </c>
      <c r="F33" s="10">
        <f>E33/SUM(E27:E42)</f>
        <v>0.0624446658</v>
      </c>
      <c r="G33" s="51"/>
      <c r="H33" s="12"/>
      <c r="I33" s="15"/>
      <c r="J33" s="15"/>
    </row>
    <row r="34">
      <c r="A34" s="7" t="s">
        <v>13</v>
      </c>
      <c r="B34" s="7" t="s">
        <v>14</v>
      </c>
      <c r="C34" s="7">
        <v>80.0</v>
      </c>
      <c r="D34" s="13">
        <v>737.55</v>
      </c>
      <c r="E34" s="66">
        <f t="shared" si="3"/>
        <v>59004</v>
      </c>
      <c r="F34" s="10">
        <f>E34/SUM(E27:E42)</f>
        <v>0.07492689409</v>
      </c>
      <c r="G34" s="51"/>
      <c r="H34" s="12"/>
      <c r="I34" s="15"/>
      <c r="J34" s="15"/>
    </row>
    <row r="35">
      <c r="A35" s="7" t="s">
        <v>15</v>
      </c>
      <c r="B35" s="7" t="s">
        <v>14</v>
      </c>
      <c r="C35" s="7">
        <v>90.0</v>
      </c>
      <c r="D35" s="8">
        <v>705.06</v>
      </c>
      <c r="E35" s="66">
        <f t="shared" si="3"/>
        <v>63455.4</v>
      </c>
      <c r="F35" s="10">
        <f>E35/SUM(E27:E42)</f>
        <v>0.08057955452</v>
      </c>
      <c r="G35" s="51"/>
      <c r="H35" s="12"/>
      <c r="I35" s="15"/>
      <c r="J35" s="15"/>
    </row>
    <row r="36">
      <c r="A36" s="7" t="s">
        <v>38</v>
      </c>
      <c r="B36" s="7" t="s">
        <v>39</v>
      </c>
      <c r="C36" s="7">
        <v>4.0</v>
      </c>
      <c r="D36" s="24">
        <v>8116.75</v>
      </c>
      <c r="E36" s="66">
        <f t="shared" si="3"/>
        <v>32467</v>
      </c>
      <c r="F36" s="10">
        <f>E36/SUM(E27:E42)</f>
        <v>0.04122858569</v>
      </c>
      <c r="G36" s="53" t="s">
        <v>40</v>
      </c>
      <c r="H36" s="12"/>
      <c r="I36" s="15"/>
      <c r="J36" s="15"/>
    </row>
    <row r="37">
      <c r="A37" s="7" t="s">
        <v>41</v>
      </c>
      <c r="B37" s="7" t="s">
        <v>39</v>
      </c>
      <c r="C37" s="7">
        <v>2.0</v>
      </c>
      <c r="D37" s="24">
        <v>31579.25</v>
      </c>
      <c r="E37" s="66">
        <f t="shared" si="3"/>
        <v>63158.5</v>
      </c>
      <c r="F37" s="10">
        <f>E37/SUM(E27:E42)</f>
        <v>0.08020253271</v>
      </c>
      <c r="G37" s="54" t="s">
        <v>42</v>
      </c>
      <c r="H37" s="12"/>
      <c r="I37" s="15"/>
      <c r="J37" s="15"/>
    </row>
    <row r="38">
      <c r="A38" s="24" t="s">
        <v>62</v>
      </c>
      <c r="B38" s="7" t="s">
        <v>44</v>
      </c>
      <c r="C38" s="24">
        <v>6.0</v>
      </c>
      <c r="D38" s="24">
        <v>49.75</v>
      </c>
      <c r="E38" s="67">
        <f t="shared" ref="E38:E41" si="4">(D38*C38)*100</f>
        <v>29850</v>
      </c>
      <c r="F38" s="30">
        <f>E38/SUM(E27:E42)</f>
        <v>0.03790535876</v>
      </c>
      <c r="G38" s="54" t="s">
        <v>54</v>
      </c>
      <c r="H38" s="12"/>
      <c r="I38" s="15"/>
      <c r="J38" s="15"/>
    </row>
    <row r="39">
      <c r="A39" s="24" t="s">
        <v>63</v>
      </c>
      <c r="B39" s="7" t="s">
        <v>44</v>
      </c>
      <c r="C39" s="24">
        <v>3.0</v>
      </c>
      <c r="D39" s="24">
        <v>104.75</v>
      </c>
      <c r="E39" s="67">
        <f t="shared" si="4"/>
        <v>31425</v>
      </c>
      <c r="F39" s="30">
        <f>E39/SUM(E27:E42)</f>
        <v>0.03990539026</v>
      </c>
      <c r="G39" s="53" t="s">
        <v>40</v>
      </c>
      <c r="H39" s="12"/>
      <c r="I39" s="15"/>
      <c r="J39" s="15"/>
    </row>
    <row r="40">
      <c r="A40" s="24" t="s">
        <v>64</v>
      </c>
      <c r="B40" s="7" t="s">
        <v>44</v>
      </c>
      <c r="C40" s="24">
        <v>4.0</v>
      </c>
      <c r="D40" s="24">
        <v>88.55</v>
      </c>
      <c r="E40" s="67">
        <f t="shared" si="4"/>
        <v>35420</v>
      </c>
      <c r="F40" s="30">
        <f>E40/SUM(E27:E42)</f>
        <v>0.04497848601</v>
      </c>
      <c r="G40" s="53" t="s">
        <v>40</v>
      </c>
      <c r="H40" s="12"/>
      <c r="I40" s="15"/>
      <c r="J40" s="15"/>
    </row>
    <row r="41">
      <c r="A41" s="24" t="s">
        <v>65</v>
      </c>
      <c r="B41" s="7" t="s">
        <v>44</v>
      </c>
      <c r="C41" s="24">
        <v>6.0</v>
      </c>
      <c r="D41" s="24">
        <v>135.32</v>
      </c>
      <c r="E41" s="67">
        <f t="shared" si="4"/>
        <v>81192</v>
      </c>
      <c r="F41" s="30">
        <f>E41/SUM(E27:E42)</f>
        <v>0.1031025758</v>
      </c>
      <c r="G41" s="53" t="s">
        <v>40</v>
      </c>
      <c r="H41" s="12"/>
      <c r="I41" s="15"/>
      <c r="J41" s="15"/>
    </row>
    <row r="42">
      <c r="A42" s="24" t="s">
        <v>16</v>
      </c>
      <c r="B42" s="7" t="s">
        <v>17</v>
      </c>
      <c r="C42" s="24">
        <v>100900.0</v>
      </c>
      <c r="D42" s="24" t="s">
        <v>18</v>
      </c>
      <c r="E42" s="29">
        <f>C42</f>
        <v>100900</v>
      </c>
      <c r="F42" s="30">
        <f>E42/SUM(E27:E42)</f>
        <v>0.1281290017</v>
      </c>
      <c r="G42" s="29"/>
      <c r="H42" s="14"/>
      <c r="I42" s="15"/>
      <c r="J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</row>
  </sheetData>
  <mergeCells count="6">
    <mergeCell ref="A2:G2"/>
    <mergeCell ref="A10:G10"/>
    <mergeCell ref="A25:H25"/>
    <mergeCell ref="G12:G23"/>
    <mergeCell ref="G4:G8"/>
    <mergeCell ref="H27:H4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7" max="7" width="24.5"/>
    <col customWidth="1" min="8" max="8" width="19.63"/>
  </cols>
  <sheetData>
    <row r="1">
      <c r="A1" s="15"/>
      <c r="B1" s="15"/>
      <c r="C1" s="15"/>
      <c r="D1" s="15"/>
      <c r="E1" s="15"/>
      <c r="F1" s="15"/>
      <c r="G1" s="15"/>
    </row>
    <row r="2">
      <c r="A2" s="68" t="s">
        <v>1</v>
      </c>
      <c r="B2" s="58"/>
      <c r="C2" s="58"/>
      <c r="D2" s="58"/>
      <c r="E2" s="58"/>
      <c r="F2" s="58"/>
      <c r="G2" s="59"/>
    </row>
    <row r="3">
      <c r="A3" s="40" t="s">
        <v>2</v>
      </c>
      <c r="B3" s="40" t="s">
        <v>3</v>
      </c>
      <c r="C3" s="40" t="s">
        <v>4</v>
      </c>
      <c r="D3" s="40" t="s">
        <v>5</v>
      </c>
      <c r="E3" s="40" t="s">
        <v>6</v>
      </c>
      <c r="F3" s="40" t="s">
        <v>7</v>
      </c>
      <c r="G3" s="5" t="s">
        <v>8</v>
      </c>
    </row>
    <row r="4">
      <c r="A4" s="7" t="s">
        <v>47</v>
      </c>
      <c r="B4" s="7" t="s">
        <v>10</v>
      </c>
      <c r="C4" s="7">
        <v>1200.0</v>
      </c>
      <c r="D4" s="13">
        <v>98.17</v>
      </c>
      <c r="E4" s="19">
        <f t="shared" ref="E4:E8" si="1">C4*D4</f>
        <v>117804</v>
      </c>
      <c r="F4" s="10">
        <f>E4/SUM(E4:E9)</f>
        <v>0.2153019357</v>
      </c>
      <c r="G4" s="44">
        <f>SUM(E4:E9)</f>
        <v>547157.18</v>
      </c>
    </row>
    <row r="5">
      <c r="A5" s="7" t="s">
        <v>9</v>
      </c>
      <c r="B5" s="7" t="s">
        <v>48</v>
      </c>
      <c r="C5" s="7">
        <v>800.0</v>
      </c>
      <c r="D5" s="8">
        <v>85.06</v>
      </c>
      <c r="E5" s="19">
        <f t="shared" si="1"/>
        <v>68048</v>
      </c>
      <c r="F5" s="10">
        <f>E5/SUM(E4:E9)</f>
        <v>0.1243664572</v>
      </c>
      <c r="G5" s="12"/>
    </row>
    <row r="6">
      <c r="A6" s="7" t="s">
        <v>11</v>
      </c>
      <c r="B6" s="7" t="s">
        <v>12</v>
      </c>
      <c r="C6" s="7">
        <v>720.0</v>
      </c>
      <c r="D6" s="8">
        <v>108.17</v>
      </c>
      <c r="E6" s="19">
        <f t="shared" si="1"/>
        <v>77882.4</v>
      </c>
      <c r="F6" s="10">
        <f>E6/SUM(E4:E9)</f>
        <v>0.1423400859</v>
      </c>
      <c r="G6" s="12"/>
    </row>
    <row r="7">
      <c r="A7" s="7" t="s">
        <v>13</v>
      </c>
      <c r="B7" s="7" t="s">
        <v>14</v>
      </c>
      <c r="C7" s="7">
        <v>80.0</v>
      </c>
      <c r="D7" s="13">
        <v>737.55</v>
      </c>
      <c r="E7" s="19">
        <f t="shared" si="1"/>
        <v>59004</v>
      </c>
      <c r="F7" s="10">
        <f>E7/SUM(E4:E9)</f>
        <v>0.107837386</v>
      </c>
      <c r="G7" s="12"/>
    </row>
    <row r="8">
      <c r="A8" s="7" t="s">
        <v>15</v>
      </c>
      <c r="B8" s="7" t="s">
        <v>14</v>
      </c>
      <c r="C8" s="7">
        <v>63.0</v>
      </c>
      <c r="D8" s="8">
        <v>705.06</v>
      </c>
      <c r="E8" s="19">
        <f t="shared" si="1"/>
        <v>44418.78</v>
      </c>
      <c r="F8" s="10">
        <f>E8/SUM(E4:E9)</f>
        <v>0.08118102371</v>
      </c>
      <c r="G8" s="12"/>
    </row>
    <row r="9">
      <c r="A9" s="7" t="s">
        <v>16</v>
      </c>
      <c r="B9" s="7" t="s">
        <v>17</v>
      </c>
      <c r="C9" s="7">
        <v>180000.0</v>
      </c>
      <c r="D9" s="13" t="s">
        <v>18</v>
      </c>
      <c r="E9" s="19">
        <f>C9</f>
        <v>180000</v>
      </c>
      <c r="F9" s="10">
        <f>E9/SUM(E4:E9)</f>
        <v>0.3289731115</v>
      </c>
      <c r="G9" s="14"/>
    </row>
    <row r="10">
      <c r="A10" s="15"/>
      <c r="B10" s="15"/>
      <c r="C10" s="15"/>
      <c r="D10" s="15"/>
      <c r="E10" s="15"/>
      <c r="F10" s="15"/>
      <c r="G10" s="15"/>
    </row>
    <row r="11">
      <c r="A11" s="69" t="s">
        <v>19</v>
      </c>
      <c r="B11" s="58"/>
      <c r="C11" s="58"/>
      <c r="D11" s="58"/>
      <c r="E11" s="58"/>
      <c r="F11" s="58"/>
      <c r="G11" s="59"/>
    </row>
    <row r="12">
      <c r="A12" s="40" t="s">
        <v>2</v>
      </c>
      <c r="B12" s="40" t="s">
        <v>3</v>
      </c>
      <c r="C12" s="40" t="s">
        <v>4</v>
      </c>
      <c r="D12" s="40" t="s">
        <v>5</v>
      </c>
      <c r="E12" s="40" t="s">
        <v>6</v>
      </c>
      <c r="F12" s="40" t="s">
        <v>7</v>
      </c>
      <c r="G12" s="5" t="s">
        <v>8</v>
      </c>
    </row>
    <row r="13">
      <c r="A13" s="7" t="s">
        <v>20</v>
      </c>
      <c r="B13" s="7" t="s">
        <v>21</v>
      </c>
      <c r="C13" s="7">
        <v>130.0</v>
      </c>
      <c r="D13" s="13">
        <v>205.1</v>
      </c>
      <c r="E13" s="19">
        <f t="shared" ref="E13:E25" si="2">D13*C13</f>
        <v>26663</v>
      </c>
      <c r="F13" s="10">
        <f>E13/SUM(E13:E26)</f>
        <v>0.03997692395</v>
      </c>
      <c r="G13" s="44">
        <f>SUM(E13:E26)</f>
        <v>666959.77</v>
      </c>
    </row>
    <row r="14">
      <c r="A14" s="7" t="s">
        <v>22</v>
      </c>
      <c r="B14" s="7" t="s">
        <v>21</v>
      </c>
      <c r="C14" s="7">
        <v>140.0</v>
      </c>
      <c r="D14" s="13">
        <v>416.67</v>
      </c>
      <c r="E14" s="19">
        <f t="shared" si="2"/>
        <v>58333.8</v>
      </c>
      <c r="F14" s="10">
        <f>E14/SUM(E13:E26)</f>
        <v>0.08746224679</v>
      </c>
      <c r="G14" s="12"/>
    </row>
    <row r="15">
      <c r="A15" s="7" t="s">
        <v>23</v>
      </c>
      <c r="B15" s="7" t="s">
        <v>21</v>
      </c>
      <c r="C15" s="7">
        <v>138.0</v>
      </c>
      <c r="D15" s="13">
        <v>307.34</v>
      </c>
      <c r="E15" s="19">
        <f t="shared" si="2"/>
        <v>42412.92</v>
      </c>
      <c r="F15" s="10">
        <f>E15/SUM(E13:E26)</f>
        <v>0.06359142171</v>
      </c>
      <c r="G15" s="12"/>
    </row>
    <row r="16">
      <c r="A16" s="7" t="s">
        <v>24</v>
      </c>
      <c r="B16" s="7" t="s">
        <v>21</v>
      </c>
      <c r="C16" s="7">
        <v>120.0</v>
      </c>
      <c r="D16" s="13">
        <v>246.03</v>
      </c>
      <c r="E16" s="19">
        <f t="shared" si="2"/>
        <v>29523.6</v>
      </c>
      <c r="F16" s="10">
        <f>E16/SUM(E13:E26)</f>
        <v>0.04426593826</v>
      </c>
      <c r="G16" s="12"/>
    </row>
    <row r="17">
      <c r="A17" s="7" t="s">
        <v>25</v>
      </c>
      <c r="B17" s="7" t="s">
        <v>21</v>
      </c>
      <c r="C17" s="7">
        <v>120.0</v>
      </c>
      <c r="D17" s="13">
        <v>368.53</v>
      </c>
      <c r="E17" s="19">
        <f t="shared" si="2"/>
        <v>44223.6</v>
      </c>
      <c r="F17" s="10">
        <f>E17/SUM(E13:E26)</f>
        <v>0.06630624813</v>
      </c>
      <c r="G17" s="12"/>
    </row>
    <row r="18">
      <c r="A18" s="7" t="s">
        <v>26</v>
      </c>
      <c r="B18" s="7" t="s">
        <v>21</v>
      </c>
      <c r="C18" s="7">
        <v>105.0</v>
      </c>
      <c r="D18" s="13">
        <v>385.73</v>
      </c>
      <c r="E18" s="19">
        <f t="shared" si="2"/>
        <v>40501.65</v>
      </c>
      <c r="F18" s="10">
        <f>E18/SUM(E13:E26)</f>
        <v>0.06072577661</v>
      </c>
      <c r="G18" s="12"/>
    </row>
    <row r="19">
      <c r="A19" s="7" t="s">
        <v>27</v>
      </c>
      <c r="B19" s="7" t="s">
        <v>21</v>
      </c>
      <c r="C19" s="7">
        <v>90.0</v>
      </c>
      <c r="D19" s="13">
        <v>415.17</v>
      </c>
      <c r="E19" s="19">
        <f t="shared" si="2"/>
        <v>37365.3</v>
      </c>
      <c r="F19" s="10">
        <f>E19/SUM(E13:E26)</f>
        <v>0.05602331907</v>
      </c>
      <c r="G19" s="12"/>
    </row>
    <row r="20">
      <c r="A20" s="7" t="s">
        <v>28</v>
      </c>
      <c r="B20" s="7" t="s">
        <v>21</v>
      </c>
      <c r="C20" s="7">
        <v>70.0</v>
      </c>
      <c r="D20" s="13">
        <v>391.0</v>
      </c>
      <c r="E20" s="19">
        <f t="shared" si="2"/>
        <v>27370</v>
      </c>
      <c r="F20" s="10">
        <f>E20/SUM(E13:E26)</f>
        <v>0.0410369579</v>
      </c>
      <c r="G20" s="12"/>
    </row>
    <row r="21">
      <c r="A21" s="7" t="s">
        <v>13</v>
      </c>
      <c r="B21" s="7" t="s">
        <v>14</v>
      </c>
      <c r="C21" s="7">
        <v>60.0</v>
      </c>
      <c r="D21" s="13">
        <v>737.55</v>
      </c>
      <c r="E21" s="19">
        <f t="shared" si="2"/>
        <v>44253</v>
      </c>
      <c r="F21" s="10">
        <f>E21/SUM(E13:E26)</f>
        <v>0.06635032875</v>
      </c>
      <c r="G21" s="12"/>
    </row>
    <row r="22">
      <c r="A22" s="7" t="s">
        <v>15</v>
      </c>
      <c r="B22" s="7" t="s">
        <v>14</v>
      </c>
      <c r="C22" s="7">
        <v>50.0</v>
      </c>
      <c r="D22" s="8">
        <v>705.06</v>
      </c>
      <c r="E22" s="19">
        <f t="shared" si="2"/>
        <v>35253</v>
      </c>
      <c r="F22" s="10">
        <f>E22/SUM(E13:E26)</f>
        <v>0.05285626148</v>
      </c>
      <c r="G22" s="12"/>
    </row>
    <row r="23">
      <c r="A23" s="7" t="s">
        <v>49</v>
      </c>
      <c r="B23" s="7" t="s">
        <v>14</v>
      </c>
      <c r="C23" s="7">
        <v>3.0</v>
      </c>
      <c r="D23" s="48">
        <v>4742.0</v>
      </c>
      <c r="E23" s="19">
        <f t="shared" si="2"/>
        <v>14226</v>
      </c>
      <c r="F23" s="10">
        <f>E23/SUM(E13:E26)</f>
        <v>0.02132962232</v>
      </c>
      <c r="G23" s="12"/>
    </row>
    <row r="24">
      <c r="A24" s="7" t="s">
        <v>30</v>
      </c>
      <c r="B24" s="7" t="s">
        <v>50</v>
      </c>
      <c r="C24" s="7">
        <v>30.0</v>
      </c>
      <c r="D24" s="48">
        <v>4327.88</v>
      </c>
      <c r="E24" s="19">
        <f t="shared" si="2"/>
        <v>129836.4</v>
      </c>
      <c r="F24" s="10">
        <f>E24/SUM(E13:E26)</f>
        <v>0.1946690128</v>
      </c>
      <c r="G24" s="12"/>
    </row>
    <row r="25">
      <c r="A25" s="7" t="s">
        <v>51</v>
      </c>
      <c r="B25" s="7" t="s">
        <v>50</v>
      </c>
      <c r="C25" s="7">
        <v>90.0</v>
      </c>
      <c r="D25" s="7">
        <v>67.75</v>
      </c>
      <c r="E25" s="19">
        <f t="shared" si="2"/>
        <v>6097.5</v>
      </c>
      <c r="F25" s="10">
        <f>E25/SUM(E13:E26)</f>
        <v>0.009142230573</v>
      </c>
      <c r="G25" s="12"/>
    </row>
    <row r="26">
      <c r="A26" s="7" t="s">
        <v>16</v>
      </c>
      <c r="B26" s="7" t="s">
        <v>17</v>
      </c>
      <c r="C26" s="7">
        <v>130900.0</v>
      </c>
      <c r="D26" s="13" t="s">
        <v>18</v>
      </c>
      <c r="E26" s="19">
        <f>C26</f>
        <v>130900</v>
      </c>
      <c r="F26" s="10">
        <f>E26/SUM(E13:E26)</f>
        <v>0.1962637117</v>
      </c>
      <c r="G26" s="14"/>
    </row>
    <row r="27">
      <c r="A27" s="15"/>
      <c r="B27" s="15"/>
      <c r="C27" s="15"/>
      <c r="D27" s="15"/>
      <c r="E27" s="15"/>
      <c r="F27" s="15"/>
      <c r="G27" s="15"/>
    </row>
    <row r="28">
      <c r="A28" s="57" t="s">
        <v>32</v>
      </c>
      <c r="B28" s="58"/>
      <c r="C28" s="58"/>
      <c r="D28" s="58"/>
      <c r="E28" s="58"/>
      <c r="F28" s="58"/>
      <c r="G28" s="58"/>
      <c r="H28" s="59"/>
    </row>
    <row r="29">
      <c r="A29" s="40" t="s">
        <v>2</v>
      </c>
      <c r="B29" s="40" t="s">
        <v>3</v>
      </c>
      <c r="C29" s="40" t="s">
        <v>4</v>
      </c>
      <c r="D29" s="40" t="s">
        <v>5</v>
      </c>
      <c r="E29" s="40" t="s">
        <v>6</v>
      </c>
      <c r="F29" s="40" t="s">
        <v>7</v>
      </c>
      <c r="G29" s="50" t="s">
        <v>33</v>
      </c>
      <c r="H29" s="5" t="s">
        <v>8</v>
      </c>
    </row>
    <row r="30">
      <c r="A30" s="7" t="s">
        <v>20</v>
      </c>
      <c r="B30" s="7" t="s">
        <v>21</v>
      </c>
      <c r="C30" s="24">
        <v>123.0</v>
      </c>
      <c r="D30" s="13">
        <v>205.1</v>
      </c>
      <c r="E30" s="19">
        <f t="shared" ref="E30:E43" si="3">D30*C30</f>
        <v>25227.3</v>
      </c>
      <c r="F30" s="10">
        <f>E30/SUM(E30:E48)</f>
        <v>0.02846301448</v>
      </c>
      <c r="G30" s="29"/>
      <c r="H30" s="52">
        <f>SUM(E30:E48)</f>
        <v>886318.63</v>
      </c>
    </row>
    <row r="31">
      <c r="A31" s="7" t="s">
        <v>28</v>
      </c>
      <c r="B31" s="7" t="s">
        <v>21</v>
      </c>
      <c r="C31" s="24">
        <v>198.0</v>
      </c>
      <c r="D31" s="13">
        <v>391.0</v>
      </c>
      <c r="E31" s="19">
        <f t="shared" si="3"/>
        <v>77418</v>
      </c>
      <c r="F31" s="10">
        <f>E31/SUM(E30:E48)</f>
        <v>0.08734781982</v>
      </c>
      <c r="G31" s="29"/>
      <c r="H31" s="12"/>
    </row>
    <row r="32">
      <c r="A32" s="7" t="s">
        <v>22</v>
      </c>
      <c r="B32" s="7" t="s">
        <v>21</v>
      </c>
      <c r="C32" s="24">
        <v>55.0</v>
      </c>
      <c r="D32" s="13">
        <v>416.67</v>
      </c>
      <c r="E32" s="19">
        <f t="shared" si="3"/>
        <v>22916.85</v>
      </c>
      <c r="F32" s="10">
        <f>E32/SUM(E30:E48)</f>
        <v>0.02585622058</v>
      </c>
      <c r="G32" s="29"/>
      <c r="H32" s="12"/>
    </row>
    <row r="33">
      <c r="A33" s="7" t="s">
        <v>23</v>
      </c>
      <c r="B33" s="7" t="s">
        <v>21</v>
      </c>
      <c r="C33" s="24">
        <v>160.0</v>
      </c>
      <c r="D33" s="13">
        <v>307.34</v>
      </c>
      <c r="E33" s="19">
        <f t="shared" si="3"/>
        <v>49174.4</v>
      </c>
      <c r="F33" s="10">
        <f>E33/SUM(E30:E48)</f>
        <v>0.05548162741</v>
      </c>
      <c r="G33" s="29"/>
      <c r="H33" s="12"/>
    </row>
    <row r="34">
      <c r="A34" s="7" t="s">
        <v>25</v>
      </c>
      <c r="B34" s="7" t="s">
        <v>21</v>
      </c>
      <c r="C34" s="24">
        <v>170.0</v>
      </c>
      <c r="D34" s="13">
        <v>368.53</v>
      </c>
      <c r="E34" s="19">
        <f t="shared" si="3"/>
        <v>62650.1</v>
      </c>
      <c r="F34" s="10">
        <f>E34/SUM(E30:E48)</f>
        <v>0.07068575327</v>
      </c>
      <c r="G34" s="29"/>
      <c r="H34" s="12"/>
    </row>
    <row r="35">
      <c r="A35" s="7" t="s">
        <v>35</v>
      </c>
      <c r="B35" s="7" t="s">
        <v>21</v>
      </c>
      <c r="C35" s="24">
        <v>310.0</v>
      </c>
      <c r="D35" s="24">
        <v>152.4</v>
      </c>
      <c r="E35" s="19">
        <f t="shared" si="3"/>
        <v>47244</v>
      </c>
      <c r="F35" s="10">
        <f>E35/SUM(E30:E48)</f>
        <v>0.05330362964</v>
      </c>
      <c r="G35" s="29"/>
      <c r="H35" s="12"/>
    </row>
    <row r="36">
      <c r="A36" s="7" t="s">
        <v>34</v>
      </c>
      <c r="B36" s="7" t="s">
        <v>21</v>
      </c>
      <c r="C36" s="24">
        <v>320.0</v>
      </c>
      <c r="D36" s="24">
        <v>135.53</v>
      </c>
      <c r="E36" s="19">
        <f t="shared" si="3"/>
        <v>43369.6</v>
      </c>
      <c r="F36" s="10">
        <f>E36/SUM(E30:E48)</f>
        <v>0.04893228973</v>
      </c>
      <c r="G36" s="29"/>
      <c r="H36" s="12"/>
    </row>
    <row r="37">
      <c r="A37" s="7" t="s">
        <v>36</v>
      </c>
      <c r="B37" s="7" t="s">
        <v>21</v>
      </c>
      <c r="C37" s="24">
        <v>240.0</v>
      </c>
      <c r="D37" s="24">
        <v>173.45</v>
      </c>
      <c r="E37" s="19">
        <f t="shared" si="3"/>
        <v>41628</v>
      </c>
      <c r="F37" s="10">
        <f>E37/SUM(E30:E48)</f>
        <v>0.04696730791</v>
      </c>
      <c r="G37" s="29"/>
      <c r="H37" s="12"/>
    </row>
    <row r="38">
      <c r="A38" s="7" t="s">
        <v>37</v>
      </c>
      <c r="B38" s="7" t="s">
        <v>21</v>
      </c>
      <c r="C38" s="24">
        <v>450.0</v>
      </c>
      <c r="D38" s="24">
        <v>120.44</v>
      </c>
      <c r="E38" s="19">
        <f t="shared" si="3"/>
        <v>54198</v>
      </c>
      <c r="F38" s="10">
        <f>E38/SUM(E30:E48)</f>
        <v>0.06114956649</v>
      </c>
      <c r="G38" s="29"/>
      <c r="H38" s="12"/>
    </row>
    <row r="39">
      <c r="A39" s="7" t="s">
        <v>13</v>
      </c>
      <c r="B39" s="7" t="s">
        <v>14</v>
      </c>
      <c r="C39" s="24">
        <v>100.0</v>
      </c>
      <c r="D39" s="13">
        <v>737.55</v>
      </c>
      <c r="E39" s="19">
        <f t="shared" si="3"/>
        <v>73755</v>
      </c>
      <c r="F39" s="10">
        <f>E39/SUM(E30:E48)</f>
        <v>0.08321499459</v>
      </c>
      <c r="G39" s="29"/>
      <c r="H39" s="12"/>
    </row>
    <row r="40">
      <c r="A40" s="7" t="s">
        <v>15</v>
      </c>
      <c r="B40" s="7" t="s">
        <v>14</v>
      </c>
      <c r="C40" s="24">
        <v>98.0</v>
      </c>
      <c r="D40" s="8">
        <v>705.06</v>
      </c>
      <c r="E40" s="19">
        <f t="shared" si="3"/>
        <v>69095.88</v>
      </c>
      <c r="F40" s="10">
        <f>E40/SUM(E30:E48)</f>
        <v>0.0779582846</v>
      </c>
      <c r="G40" s="29"/>
      <c r="H40" s="12"/>
    </row>
    <row r="41">
      <c r="A41" s="7" t="s">
        <v>49</v>
      </c>
      <c r="B41" s="7" t="s">
        <v>14</v>
      </c>
      <c r="C41" s="24">
        <v>5.0</v>
      </c>
      <c r="D41" s="48">
        <v>4742.0</v>
      </c>
      <c r="E41" s="19">
        <f t="shared" si="3"/>
        <v>23710</v>
      </c>
      <c r="F41" s="10">
        <f>E41/SUM(E30:E48)</f>
        <v>0.02675110191</v>
      </c>
      <c r="G41" s="29"/>
      <c r="H41" s="12"/>
    </row>
    <row r="42">
      <c r="A42" s="7" t="s">
        <v>38</v>
      </c>
      <c r="B42" s="7" t="s">
        <v>39</v>
      </c>
      <c r="C42" s="28">
        <v>4.0</v>
      </c>
      <c r="D42" s="24">
        <v>8116.75</v>
      </c>
      <c r="E42" s="19">
        <f t="shared" si="3"/>
        <v>32467</v>
      </c>
      <c r="F42" s="10">
        <f>E42/SUM(E30:E48)</f>
        <v>0.0366312959</v>
      </c>
      <c r="G42" s="53" t="s">
        <v>40</v>
      </c>
      <c r="H42" s="12"/>
    </row>
    <row r="43">
      <c r="A43" s="7" t="s">
        <v>41</v>
      </c>
      <c r="B43" s="7" t="s">
        <v>39</v>
      </c>
      <c r="C43" s="28">
        <v>2.0</v>
      </c>
      <c r="D43" s="24">
        <v>31579.25</v>
      </c>
      <c r="E43" s="19">
        <f t="shared" si="3"/>
        <v>63158.5</v>
      </c>
      <c r="F43" s="10">
        <f>E43/SUM(E30:E48)</f>
        <v>0.07125936188</v>
      </c>
      <c r="G43" s="53" t="s">
        <v>42</v>
      </c>
      <c r="H43" s="12"/>
    </row>
    <row r="44">
      <c r="A44" s="7" t="s">
        <v>66</v>
      </c>
      <c r="B44" s="7" t="s">
        <v>44</v>
      </c>
      <c r="C44" s="28">
        <v>3.0</v>
      </c>
      <c r="D44" s="24">
        <v>59.6</v>
      </c>
      <c r="E44" s="19">
        <f t="shared" ref="E44:E47" si="4">(D44*C44)*100</f>
        <v>17880</v>
      </c>
      <c r="F44" s="10">
        <f>E44/SUM(E30:E48)</f>
        <v>0.02017333202</v>
      </c>
      <c r="G44" s="54" t="s">
        <v>40</v>
      </c>
      <c r="H44" s="12"/>
    </row>
    <row r="45">
      <c r="A45" s="28" t="s">
        <v>67</v>
      </c>
      <c r="B45" s="7" t="s">
        <v>44</v>
      </c>
      <c r="C45" s="28">
        <v>4.0</v>
      </c>
      <c r="D45" s="24">
        <v>126.5</v>
      </c>
      <c r="E45" s="19">
        <f t="shared" si="4"/>
        <v>50600</v>
      </c>
      <c r="F45" s="30">
        <f>E45/SUM(E30:E48)</f>
        <v>0.05709007832</v>
      </c>
      <c r="G45" s="54" t="s">
        <v>40</v>
      </c>
      <c r="H45" s="12"/>
    </row>
    <row r="46">
      <c r="A46" s="28" t="s">
        <v>68</v>
      </c>
      <c r="B46" s="7" t="s">
        <v>44</v>
      </c>
      <c r="C46" s="28">
        <v>6.0</v>
      </c>
      <c r="D46" s="24">
        <v>65.92</v>
      </c>
      <c r="E46" s="19">
        <f t="shared" si="4"/>
        <v>39552</v>
      </c>
      <c r="F46" s="30">
        <f>E46/SUM(E30:E48)</f>
        <v>0.04462503513</v>
      </c>
      <c r="G46" s="54" t="s">
        <v>40</v>
      </c>
      <c r="H46" s="12"/>
    </row>
    <row r="47">
      <c r="A47" s="28" t="s">
        <v>69</v>
      </c>
      <c r="B47" s="7" t="s">
        <v>44</v>
      </c>
      <c r="C47" s="28">
        <v>2.0</v>
      </c>
      <c r="D47" s="24">
        <v>61.37</v>
      </c>
      <c r="E47" s="19">
        <f t="shared" si="4"/>
        <v>12274</v>
      </c>
      <c r="F47" s="30">
        <f>E47/SUM(E30:E48)</f>
        <v>0.01384829291</v>
      </c>
      <c r="G47" s="54" t="s">
        <v>40</v>
      </c>
      <c r="H47" s="12"/>
    </row>
    <row r="48">
      <c r="A48" s="28" t="s">
        <v>16</v>
      </c>
      <c r="B48" s="28" t="s">
        <v>17</v>
      </c>
      <c r="C48" s="28">
        <v>80000.0</v>
      </c>
      <c r="D48" s="24" t="s">
        <v>18</v>
      </c>
      <c r="E48" s="29">
        <f>C48</f>
        <v>80000</v>
      </c>
      <c r="F48" s="30">
        <f>E48/SUM(E30:E48)</f>
        <v>0.09026099339</v>
      </c>
      <c r="G48" s="29"/>
      <c r="H48" s="14"/>
    </row>
    <row r="49">
      <c r="A49" s="15"/>
      <c r="B49" s="15"/>
      <c r="C49" s="15"/>
      <c r="D49" s="15"/>
      <c r="E49" s="15"/>
      <c r="F49" s="15"/>
      <c r="G49" s="15"/>
    </row>
  </sheetData>
  <mergeCells count="6">
    <mergeCell ref="A2:G2"/>
    <mergeCell ref="A11:G11"/>
    <mergeCell ref="A28:H28"/>
    <mergeCell ref="G4:G9"/>
    <mergeCell ref="G13:G26"/>
    <mergeCell ref="H30:H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7" max="7" width="16.25"/>
    <col customWidth="1" min="8" max="8" width="18.5"/>
  </cols>
  <sheetData>
    <row r="1">
      <c r="A1" s="56" t="s">
        <v>1</v>
      </c>
      <c r="H1" s="15"/>
    </row>
    <row r="2">
      <c r="A2" s="40" t="s">
        <v>2</v>
      </c>
      <c r="B2" s="40" t="s">
        <v>3</v>
      </c>
      <c r="C2" s="40" t="s">
        <v>4</v>
      </c>
      <c r="D2" s="40" t="s">
        <v>5</v>
      </c>
      <c r="E2" s="40" t="s">
        <v>6</v>
      </c>
      <c r="F2" s="40" t="s">
        <v>7</v>
      </c>
      <c r="G2" s="5" t="s">
        <v>8</v>
      </c>
      <c r="H2" s="15"/>
    </row>
    <row r="3">
      <c r="A3" s="7" t="s">
        <v>47</v>
      </c>
      <c r="B3" s="7" t="s">
        <v>10</v>
      </c>
      <c r="C3" s="7">
        <v>990.0</v>
      </c>
      <c r="D3" s="41">
        <v>98.17</v>
      </c>
      <c r="E3" s="42">
        <f t="shared" ref="E3:E7" si="1">C3*D3</f>
        <v>97188.3</v>
      </c>
      <c r="F3" s="43">
        <f>E3/SUM(E3:E8)</f>
        <v>0.1967711235</v>
      </c>
      <c r="G3" s="44">
        <f>SUM(E3:E8)</f>
        <v>493915.46</v>
      </c>
      <c r="H3" s="15"/>
    </row>
    <row r="4">
      <c r="A4" s="7" t="s">
        <v>9</v>
      </c>
      <c r="B4" s="7" t="s">
        <v>48</v>
      </c>
      <c r="C4" s="7">
        <v>1090.0</v>
      </c>
      <c r="D4" s="41">
        <v>85.06</v>
      </c>
      <c r="E4" s="42">
        <f t="shared" si="1"/>
        <v>92715.4</v>
      </c>
      <c r="F4" s="43">
        <f>E4/SUM(E3:E8)</f>
        <v>0.1877151203</v>
      </c>
      <c r="G4" s="12"/>
      <c r="H4" s="15"/>
    </row>
    <row r="5">
      <c r="A5" s="7" t="s">
        <v>11</v>
      </c>
      <c r="B5" s="7" t="s">
        <v>12</v>
      </c>
      <c r="C5" s="7">
        <v>780.0</v>
      </c>
      <c r="D5" s="41">
        <v>108.17</v>
      </c>
      <c r="E5" s="42">
        <f t="shared" si="1"/>
        <v>84372.6</v>
      </c>
      <c r="F5" s="43">
        <f>E5/SUM(E3:E8)</f>
        <v>0.1708239706</v>
      </c>
      <c r="G5" s="12"/>
      <c r="H5" s="15"/>
    </row>
    <row r="6">
      <c r="A6" s="7" t="s">
        <v>13</v>
      </c>
      <c r="B6" s="7" t="s">
        <v>14</v>
      </c>
      <c r="C6" s="7">
        <v>80.0</v>
      </c>
      <c r="D6" s="13">
        <v>737.55</v>
      </c>
      <c r="E6" s="42">
        <f t="shared" si="1"/>
        <v>59004</v>
      </c>
      <c r="F6" s="43">
        <f>E6/SUM(E3:E8)</f>
        <v>0.1194617395</v>
      </c>
      <c r="G6" s="12"/>
      <c r="H6" s="15"/>
    </row>
    <row r="7">
      <c r="A7" s="7" t="s">
        <v>15</v>
      </c>
      <c r="B7" s="7" t="s">
        <v>14</v>
      </c>
      <c r="C7" s="7">
        <v>86.0</v>
      </c>
      <c r="D7" s="8">
        <v>705.06</v>
      </c>
      <c r="E7" s="42">
        <f t="shared" si="1"/>
        <v>60635.16</v>
      </c>
      <c r="F7" s="43">
        <f>E7/SUM(E3:E8)</f>
        <v>0.122764248</v>
      </c>
      <c r="G7" s="12"/>
      <c r="H7" s="15"/>
    </row>
    <row r="8">
      <c r="A8" s="7" t="s">
        <v>16</v>
      </c>
      <c r="B8" s="7" t="s">
        <v>17</v>
      </c>
      <c r="C8" s="7">
        <v>100000.0</v>
      </c>
      <c r="D8" s="45" t="s">
        <v>18</v>
      </c>
      <c r="E8" s="42">
        <f>C8</f>
        <v>100000</v>
      </c>
      <c r="F8" s="43">
        <f>E8/SUM(E3:E8)</f>
        <v>0.2024637982</v>
      </c>
      <c r="G8" s="14"/>
      <c r="H8" s="15"/>
    </row>
    <row r="9">
      <c r="A9" s="46"/>
      <c r="B9" s="15"/>
      <c r="C9" s="15"/>
      <c r="D9" s="16"/>
      <c r="E9" s="15"/>
      <c r="F9" s="15"/>
      <c r="G9" s="15"/>
      <c r="H9" s="15"/>
    </row>
    <row r="10">
      <c r="A10" s="18" t="s">
        <v>19</v>
      </c>
      <c r="H10" s="15"/>
    </row>
    <row r="11">
      <c r="A11" s="40" t="s">
        <v>2</v>
      </c>
      <c r="B11" s="40" t="s">
        <v>3</v>
      </c>
      <c r="C11" s="40" t="s">
        <v>4</v>
      </c>
      <c r="D11" s="40" t="s">
        <v>5</v>
      </c>
      <c r="E11" s="40" t="s">
        <v>6</v>
      </c>
      <c r="F11" s="40" t="s">
        <v>7</v>
      </c>
      <c r="G11" s="5" t="s">
        <v>8</v>
      </c>
      <c r="H11" s="15"/>
    </row>
    <row r="12">
      <c r="A12" s="7" t="s">
        <v>20</v>
      </c>
      <c r="B12" s="7" t="s">
        <v>21</v>
      </c>
      <c r="C12" s="7">
        <v>390.0</v>
      </c>
      <c r="D12" s="13">
        <v>205.1</v>
      </c>
      <c r="E12" s="42">
        <f t="shared" ref="E12:E24" si="2">C12*D12</f>
        <v>79989</v>
      </c>
      <c r="F12" s="43">
        <f>E12/SUM(E12:E25)</f>
        <v>0.05650056524</v>
      </c>
      <c r="G12" s="44">
        <f>SUM(E12:E25)</f>
        <v>1415720.35</v>
      </c>
      <c r="H12" s="15"/>
    </row>
    <row r="13">
      <c r="A13" s="7" t="s">
        <v>22</v>
      </c>
      <c r="B13" s="7" t="s">
        <v>21</v>
      </c>
      <c r="C13" s="7">
        <v>460.0</v>
      </c>
      <c r="D13" s="13">
        <v>416.67</v>
      </c>
      <c r="E13" s="42">
        <f t="shared" si="2"/>
        <v>191668.2</v>
      </c>
      <c r="F13" s="43">
        <f>E13/SUM(E12:E25)</f>
        <v>0.135385636</v>
      </c>
      <c r="G13" s="12"/>
      <c r="H13" s="15"/>
    </row>
    <row r="14">
      <c r="A14" s="7" t="s">
        <v>23</v>
      </c>
      <c r="B14" s="7" t="s">
        <v>21</v>
      </c>
      <c r="C14" s="7">
        <v>470.0</v>
      </c>
      <c r="D14" s="13">
        <v>307.34</v>
      </c>
      <c r="E14" s="42">
        <f t="shared" si="2"/>
        <v>144449.8</v>
      </c>
      <c r="F14" s="43">
        <f>E14/SUM(E12:E25)</f>
        <v>0.1020327214</v>
      </c>
      <c r="G14" s="12"/>
      <c r="H14" s="15"/>
    </row>
    <row r="15">
      <c r="A15" s="7" t="s">
        <v>24</v>
      </c>
      <c r="B15" s="7" t="s">
        <v>21</v>
      </c>
      <c r="C15" s="7">
        <v>360.0</v>
      </c>
      <c r="D15" s="13">
        <v>246.03</v>
      </c>
      <c r="E15" s="42">
        <f t="shared" si="2"/>
        <v>88570.8</v>
      </c>
      <c r="F15" s="43">
        <f>E15/SUM(E12:E25)</f>
        <v>0.06256235562</v>
      </c>
      <c r="G15" s="12"/>
      <c r="H15" s="15"/>
    </row>
    <row r="16">
      <c r="A16" s="7" t="s">
        <v>25</v>
      </c>
      <c r="B16" s="7" t="s">
        <v>21</v>
      </c>
      <c r="C16" s="7">
        <v>299.0</v>
      </c>
      <c r="D16" s="13">
        <v>368.53</v>
      </c>
      <c r="E16" s="42">
        <f t="shared" si="2"/>
        <v>110190.47</v>
      </c>
      <c r="F16" s="43">
        <f>E16/SUM(E12:E25)</f>
        <v>0.0778335001</v>
      </c>
      <c r="G16" s="12"/>
      <c r="H16" s="15"/>
    </row>
    <row r="17">
      <c r="A17" s="7" t="s">
        <v>26</v>
      </c>
      <c r="B17" s="7" t="s">
        <v>21</v>
      </c>
      <c r="C17" s="7">
        <v>480.0</v>
      </c>
      <c r="D17" s="13">
        <v>385.73</v>
      </c>
      <c r="E17" s="42">
        <f t="shared" si="2"/>
        <v>185150.4</v>
      </c>
      <c r="F17" s="43">
        <f>E17/SUM(E12:E25)</f>
        <v>0.1307817607</v>
      </c>
      <c r="G17" s="12"/>
      <c r="H17" s="15"/>
    </row>
    <row r="18">
      <c r="A18" s="7" t="s">
        <v>27</v>
      </c>
      <c r="B18" s="7" t="s">
        <v>21</v>
      </c>
      <c r="C18" s="7">
        <v>140.0</v>
      </c>
      <c r="D18" s="13">
        <v>415.17</v>
      </c>
      <c r="E18" s="42">
        <f t="shared" si="2"/>
        <v>58123.8</v>
      </c>
      <c r="F18" s="43">
        <f>E18/SUM(E12:E25)</f>
        <v>0.04105598962</v>
      </c>
      <c r="G18" s="12"/>
      <c r="H18" s="15"/>
    </row>
    <row r="19">
      <c r="A19" s="7" t="s">
        <v>28</v>
      </c>
      <c r="B19" s="7" t="s">
        <v>21</v>
      </c>
      <c r="C19" s="7">
        <v>130.0</v>
      </c>
      <c r="D19" s="13">
        <v>391.0</v>
      </c>
      <c r="E19" s="42">
        <f t="shared" si="2"/>
        <v>50830</v>
      </c>
      <c r="F19" s="43">
        <f>E19/SUM(E12:E25)</f>
        <v>0.03590398344</v>
      </c>
      <c r="G19" s="12"/>
      <c r="H19" s="15"/>
    </row>
    <row r="20">
      <c r="A20" s="7" t="s">
        <v>13</v>
      </c>
      <c r="B20" s="7" t="s">
        <v>14</v>
      </c>
      <c r="C20" s="7">
        <v>70.0</v>
      </c>
      <c r="D20" s="13">
        <v>737.55</v>
      </c>
      <c r="E20" s="42">
        <f t="shared" si="2"/>
        <v>51628.5</v>
      </c>
      <c r="F20" s="43">
        <f>E20/SUM(E12:E25)</f>
        <v>0.03646800726</v>
      </c>
      <c r="G20" s="12"/>
      <c r="H20" s="15"/>
    </row>
    <row r="21">
      <c r="A21" s="7" t="s">
        <v>15</v>
      </c>
      <c r="B21" s="7" t="s">
        <v>14</v>
      </c>
      <c r="C21" s="7">
        <v>80.0</v>
      </c>
      <c r="D21" s="8">
        <v>705.06</v>
      </c>
      <c r="E21" s="42">
        <f t="shared" si="2"/>
        <v>56404.8</v>
      </c>
      <c r="F21" s="43">
        <f>E21/SUM(E12:E25)</f>
        <v>0.03984176677</v>
      </c>
      <c r="G21" s="12"/>
      <c r="H21" s="15"/>
    </row>
    <row r="22">
      <c r="A22" s="7" t="s">
        <v>49</v>
      </c>
      <c r="B22" s="7" t="s">
        <v>14</v>
      </c>
      <c r="C22" s="7">
        <v>3.0</v>
      </c>
      <c r="D22" s="48">
        <v>4742.0</v>
      </c>
      <c r="E22" s="42">
        <f t="shared" si="2"/>
        <v>14226</v>
      </c>
      <c r="F22" s="43">
        <f>E22/SUM(E12:E25)</f>
        <v>0.0100485947</v>
      </c>
      <c r="G22" s="12"/>
      <c r="H22" s="15"/>
    </row>
    <row r="23">
      <c r="A23" s="7" t="s">
        <v>30</v>
      </c>
      <c r="B23" s="7" t="s">
        <v>31</v>
      </c>
      <c r="C23" s="7">
        <v>16.0</v>
      </c>
      <c r="D23" s="13">
        <v>4327.88</v>
      </c>
      <c r="E23" s="42">
        <f t="shared" si="2"/>
        <v>69246.08</v>
      </c>
      <c r="F23" s="43">
        <f>E23/SUM(E12:E25)</f>
        <v>0.0489122587</v>
      </c>
      <c r="G23" s="12"/>
      <c r="H23" s="15"/>
    </row>
    <row r="24">
      <c r="A24" s="7" t="s">
        <v>51</v>
      </c>
      <c r="B24" s="7" t="s">
        <v>31</v>
      </c>
      <c r="C24" s="7">
        <v>70.0</v>
      </c>
      <c r="D24" s="7">
        <v>67.75</v>
      </c>
      <c r="E24" s="42">
        <f t="shared" si="2"/>
        <v>4742.5</v>
      </c>
      <c r="F24" s="43">
        <f>E24/SUM(E12:E25)</f>
        <v>0.003349884742</v>
      </c>
      <c r="G24" s="12"/>
      <c r="H24" s="15"/>
    </row>
    <row r="25">
      <c r="A25" s="7" t="s">
        <v>16</v>
      </c>
      <c r="B25" s="7" t="s">
        <v>17</v>
      </c>
      <c r="C25" s="7">
        <v>310500.0</v>
      </c>
      <c r="D25" s="45" t="s">
        <v>18</v>
      </c>
      <c r="E25" s="42">
        <f>C25</f>
        <v>310500</v>
      </c>
      <c r="F25" s="43">
        <f>E25/SUM(E12:E25)</f>
        <v>0.2193229758</v>
      </c>
      <c r="G25" s="14"/>
      <c r="H25" s="15"/>
    </row>
    <row r="26">
      <c r="A26" s="46"/>
      <c r="B26" s="15"/>
      <c r="C26" s="15"/>
      <c r="D26" s="16"/>
      <c r="E26" s="15"/>
      <c r="F26" s="15"/>
      <c r="G26" s="15"/>
      <c r="H26" s="15"/>
    </row>
    <row r="27">
      <c r="A27" s="57" t="s">
        <v>32</v>
      </c>
      <c r="B27" s="58"/>
      <c r="C27" s="58"/>
      <c r="D27" s="58"/>
      <c r="E27" s="58"/>
      <c r="F27" s="58"/>
      <c r="G27" s="58"/>
      <c r="H27" s="59"/>
    </row>
    <row r="28">
      <c r="A28" s="40" t="s">
        <v>2</v>
      </c>
      <c r="B28" s="40" t="s">
        <v>3</v>
      </c>
      <c r="C28" s="40" t="s">
        <v>4</v>
      </c>
      <c r="D28" s="40" t="s">
        <v>5</v>
      </c>
      <c r="E28" s="40" t="s">
        <v>6</v>
      </c>
      <c r="F28" s="40" t="s">
        <v>7</v>
      </c>
      <c r="G28" s="50" t="s">
        <v>33</v>
      </c>
      <c r="H28" s="5" t="s">
        <v>8</v>
      </c>
    </row>
    <row r="29">
      <c r="A29" s="7" t="s">
        <v>20</v>
      </c>
      <c r="B29" s="7" t="s">
        <v>21</v>
      </c>
      <c r="C29" s="24">
        <v>130.0</v>
      </c>
      <c r="D29" s="13">
        <v>205.1</v>
      </c>
      <c r="E29" s="42">
        <f t="shared" ref="E29:E42" si="3">D29*C29</f>
        <v>26663</v>
      </c>
      <c r="F29" s="43">
        <f>E29/SUM(E29:E47)</f>
        <v>0.03129816019</v>
      </c>
      <c r="G29" s="29"/>
      <c r="H29" s="44">
        <f>SUM(E29:E47)</f>
        <v>851903.11</v>
      </c>
    </row>
    <row r="30">
      <c r="A30" s="7" t="s">
        <v>28</v>
      </c>
      <c r="B30" s="7" t="s">
        <v>21</v>
      </c>
      <c r="C30" s="24">
        <v>130.0</v>
      </c>
      <c r="D30" s="13">
        <v>391.0</v>
      </c>
      <c r="E30" s="42">
        <f t="shared" si="3"/>
        <v>50830</v>
      </c>
      <c r="F30" s="43">
        <f>E30/SUM(E29:E47)</f>
        <v>0.05966640972</v>
      </c>
      <c r="G30" s="29"/>
      <c r="H30" s="12"/>
    </row>
    <row r="31">
      <c r="A31" s="7" t="s">
        <v>22</v>
      </c>
      <c r="B31" s="7" t="s">
        <v>21</v>
      </c>
      <c r="C31" s="24">
        <v>123.0</v>
      </c>
      <c r="D31" s="13">
        <v>416.67</v>
      </c>
      <c r="E31" s="42">
        <f t="shared" si="3"/>
        <v>51250.41</v>
      </c>
      <c r="F31" s="43">
        <f>E31/SUM(E29:E47)</f>
        <v>0.0601599048</v>
      </c>
      <c r="G31" s="29"/>
      <c r="H31" s="12"/>
    </row>
    <row r="32">
      <c r="A32" s="7" t="s">
        <v>23</v>
      </c>
      <c r="B32" s="7" t="s">
        <v>21</v>
      </c>
      <c r="C32" s="24">
        <v>167.0</v>
      </c>
      <c r="D32" s="13">
        <v>307.34</v>
      </c>
      <c r="E32" s="42">
        <f t="shared" si="3"/>
        <v>51325.78</v>
      </c>
      <c r="F32" s="43">
        <f>E32/SUM(E29:E47)</f>
        <v>0.06024837731</v>
      </c>
      <c r="G32" s="29"/>
      <c r="H32" s="12"/>
    </row>
    <row r="33">
      <c r="A33" s="7" t="s">
        <v>25</v>
      </c>
      <c r="B33" s="7" t="s">
        <v>21</v>
      </c>
      <c r="C33" s="24">
        <v>137.0</v>
      </c>
      <c r="D33" s="13">
        <v>368.53</v>
      </c>
      <c r="E33" s="42">
        <f t="shared" si="3"/>
        <v>50488.61</v>
      </c>
      <c r="F33" s="43">
        <f>E33/SUM(E29:E47)</f>
        <v>0.05926567166</v>
      </c>
      <c r="G33" s="29"/>
      <c r="H33" s="12"/>
    </row>
    <row r="34">
      <c r="A34" s="7" t="s">
        <v>35</v>
      </c>
      <c r="B34" s="7" t="s">
        <v>21</v>
      </c>
      <c r="C34" s="24">
        <v>107.0</v>
      </c>
      <c r="D34" s="24">
        <v>152.4</v>
      </c>
      <c r="E34" s="42">
        <f t="shared" si="3"/>
        <v>16306.8</v>
      </c>
      <c r="F34" s="43">
        <f>E34/SUM(E29:E47)</f>
        <v>0.01914161342</v>
      </c>
      <c r="G34" s="29"/>
      <c r="H34" s="12"/>
    </row>
    <row r="35">
      <c r="A35" s="7" t="s">
        <v>34</v>
      </c>
      <c r="B35" s="7" t="s">
        <v>21</v>
      </c>
      <c r="C35" s="24">
        <v>162.0</v>
      </c>
      <c r="D35" s="24">
        <v>135.53</v>
      </c>
      <c r="E35" s="42">
        <f t="shared" si="3"/>
        <v>21955.86</v>
      </c>
      <c r="F35" s="43">
        <f>E35/SUM(E29:E47)</f>
        <v>0.02577271962</v>
      </c>
      <c r="G35" s="29"/>
      <c r="H35" s="12"/>
    </row>
    <row r="36">
      <c r="A36" s="7" t="s">
        <v>36</v>
      </c>
      <c r="B36" s="7" t="s">
        <v>21</v>
      </c>
      <c r="C36" s="24">
        <v>110.0</v>
      </c>
      <c r="D36" s="24">
        <v>173.45</v>
      </c>
      <c r="E36" s="42">
        <f t="shared" si="3"/>
        <v>19079.5</v>
      </c>
      <c r="F36" s="43">
        <f>E36/SUM(E29:E47)</f>
        <v>0.02239632627</v>
      </c>
      <c r="G36" s="29"/>
      <c r="H36" s="12"/>
    </row>
    <row r="37">
      <c r="A37" s="7" t="s">
        <v>37</v>
      </c>
      <c r="B37" s="7" t="s">
        <v>21</v>
      </c>
      <c r="C37" s="24">
        <v>80.0</v>
      </c>
      <c r="D37" s="24">
        <v>120.44</v>
      </c>
      <c r="E37" s="42">
        <f t="shared" si="3"/>
        <v>9635.2</v>
      </c>
      <c r="F37" s="43">
        <f>E37/SUM(E29:E47)</f>
        <v>0.01131020639</v>
      </c>
      <c r="G37" s="29"/>
      <c r="H37" s="12"/>
    </row>
    <row r="38">
      <c r="A38" s="7" t="s">
        <v>13</v>
      </c>
      <c r="B38" s="7" t="s">
        <v>14</v>
      </c>
      <c r="C38" s="24">
        <v>120.0</v>
      </c>
      <c r="D38" s="13">
        <v>737.55</v>
      </c>
      <c r="E38" s="42">
        <f t="shared" si="3"/>
        <v>88506</v>
      </c>
      <c r="F38" s="43">
        <f>E38/SUM(E29:E47)</f>
        <v>0.1038920964</v>
      </c>
      <c r="G38" s="29"/>
      <c r="H38" s="12"/>
    </row>
    <row r="39">
      <c r="A39" s="7" t="s">
        <v>15</v>
      </c>
      <c r="B39" s="7" t="s">
        <v>14</v>
      </c>
      <c r="C39" s="24">
        <v>120.0</v>
      </c>
      <c r="D39" s="8">
        <v>705.06</v>
      </c>
      <c r="E39" s="42">
        <f t="shared" si="3"/>
        <v>84607.2</v>
      </c>
      <c r="F39" s="43">
        <f>E39/SUM(E29:E47)</f>
        <v>0.09931551958</v>
      </c>
      <c r="G39" s="29"/>
      <c r="H39" s="12"/>
    </row>
    <row r="40">
      <c r="A40" s="7" t="s">
        <v>49</v>
      </c>
      <c r="B40" s="7" t="s">
        <v>14</v>
      </c>
      <c r="C40" s="24">
        <v>6.0</v>
      </c>
      <c r="D40" s="48">
        <v>4742.0</v>
      </c>
      <c r="E40" s="42">
        <f t="shared" si="3"/>
        <v>28452</v>
      </c>
      <c r="F40" s="43">
        <f>E40/SUM(E29:E47)</f>
        <v>0.03339816426</v>
      </c>
      <c r="G40" s="29"/>
      <c r="H40" s="12"/>
    </row>
    <row r="41">
      <c r="A41" s="7" t="s">
        <v>38</v>
      </c>
      <c r="B41" s="7" t="s">
        <v>39</v>
      </c>
      <c r="C41" s="24">
        <v>7.0</v>
      </c>
      <c r="D41" s="24">
        <v>8116.75</v>
      </c>
      <c r="E41" s="42">
        <f t="shared" si="3"/>
        <v>56817.25</v>
      </c>
      <c r="F41" s="43">
        <f>E41/SUM(E29:E47)</f>
        <v>0.06669449769</v>
      </c>
      <c r="G41" s="53" t="s">
        <v>40</v>
      </c>
      <c r="H41" s="12"/>
    </row>
    <row r="42">
      <c r="A42" s="7" t="s">
        <v>41</v>
      </c>
      <c r="B42" s="7" t="s">
        <v>39</v>
      </c>
      <c r="C42" s="24">
        <v>2.0</v>
      </c>
      <c r="D42" s="24">
        <v>31579.25</v>
      </c>
      <c r="E42" s="42">
        <f t="shared" si="3"/>
        <v>63158.5</v>
      </c>
      <c r="F42" s="43">
        <f>E42/SUM(E29:E47)</f>
        <v>0.07413812587</v>
      </c>
      <c r="G42" s="53" t="s">
        <v>42</v>
      </c>
      <c r="H42" s="12"/>
    </row>
    <row r="43">
      <c r="A43" s="7" t="s">
        <v>70</v>
      </c>
      <c r="B43" s="7" t="s">
        <v>44</v>
      </c>
      <c r="C43" s="24">
        <v>5.0</v>
      </c>
      <c r="D43" s="24">
        <v>29.77</v>
      </c>
      <c r="E43" s="42">
        <f t="shared" ref="E43:E46" si="4">(D43*C43)*100</f>
        <v>14885</v>
      </c>
      <c r="F43" s="43">
        <f>E43/SUM(E29:E47)</f>
        <v>0.01747264428</v>
      </c>
      <c r="G43" s="54" t="s">
        <v>40</v>
      </c>
      <c r="H43" s="12"/>
    </row>
    <row r="44">
      <c r="A44" s="28" t="s">
        <v>71</v>
      </c>
      <c r="B44" s="7" t="s">
        <v>44</v>
      </c>
      <c r="C44" s="24">
        <v>3.0</v>
      </c>
      <c r="D44" s="24">
        <v>113.0</v>
      </c>
      <c r="E44" s="42">
        <f t="shared" si="4"/>
        <v>33900</v>
      </c>
      <c r="F44" s="30">
        <f>E44/SUM(E29:E47)</f>
        <v>0.03979325771</v>
      </c>
      <c r="G44" s="54" t="s">
        <v>40</v>
      </c>
      <c r="H44" s="12"/>
    </row>
    <row r="45">
      <c r="A45" s="28" t="s">
        <v>72</v>
      </c>
      <c r="B45" s="7" t="s">
        <v>44</v>
      </c>
      <c r="C45" s="24">
        <v>4.0</v>
      </c>
      <c r="D45" s="24">
        <v>118.6</v>
      </c>
      <c r="E45" s="42">
        <f t="shared" si="4"/>
        <v>47440</v>
      </c>
      <c r="F45" s="30">
        <f>E45/SUM(E29:E47)</f>
        <v>0.05568708395</v>
      </c>
      <c r="G45" s="54" t="s">
        <v>40</v>
      </c>
      <c r="H45" s="12"/>
    </row>
    <row r="46">
      <c r="A46" s="28" t="s">
        <v>73</v>
      </c>
      <c r="B46" s="7" t="s">
        <v>44</v>
      </c>
      <c r="C46" s="24">
        <v>6.0</v>
      </c>
      <c r="D46" s="24">
        <v>102.67</v>
      </c>
      <c r="E46" s="42">
        <f t="shared" si="4"/>
        <v>61602</v>
      </c>
      <c r="F46" s="30">
        <f>E46/SUM(E29:E47)</f>
        <v>0.07231104016</v>
      </c>
      <c r="G46" s="54" t="s">
        <v>40</v>
      </c>
      <c r="H46" s="12"/>
    </row>
    <row r="47">
      <c r="A47" s="24" t="s">
        <v>16</v>
      </c>
      <c r="B47" s="7" t="s">
        <v>17</v>
      </c>
      <c r="C47" s="24">
        <v>75000.0</v>
      </c>
      <c r="D47" s="24" t="s">
        <v>18</v>
      </c>
      <c r="E47" s="29">
        <f>C47</f>
        <v>75000</v>
      </c>
      <c r="F47" s="30">
        <f>E47/SUM(E29:E47)</f>
        <v>0.08803818077</v>
      </c>
      <c r="G47" s="29"/>
      <c r="H47" s="14"/>
    </row>
    <row r="48">
      <c r="A48" s="15"/>
      <c r="B48" s="15"/>
      <c r="C48" s="15"/>
      <c r="D48" s="16"/>
      <c r="E48" s="15"/>
      <c r="F48" s="15"/>
      <c r="G48" s="15"/>
      <c r="H48" s="15"/>
    </row>
    <row r="49">
      <c r="D49" s="33"/>
    </row>
    <row r="50">
      <c r="D50" s="33"/>
    </row>
    <row r="51">
      <c r="D51" s="33"/>
    </row>
    <row r="52">
      <c r="D52" s="33"/>
    </row>
    <row r="53">
      <c r="D53" s="33"/>
    </row>
    <row r="54">
      <c r="D54" s="33"/>
    </row>
    <row r="55">
      <c r="D55" s="33"/>
    </row>
    <row r="56">
      <c r="D56" s="33"/>
    </row>
    <row r="57">
      <c r="D57" s="33"/>
    </row>
    <row r="58">
      <c r="D58" s="33"/>
    </row>
    <row r="59">
      <c r="D59" s="33"/>
    </row>
    <row r="60">
      <c r="D60" s="33"/>
    </row>
    <row r="61">
      <c r="D61" s="33"/>
    </row>
    <row r="62">
      <c r="D62" s="33"/>
    </row>
    <row r="63">
      <c r="D63" s="33"/>
    </row>
    <row r="64">
      <c r="D64" s="33"/>
    </row>
    <row r="65">
      <c r="D65" s="33"/>
    </row>
    <row r="66">
      <c r="D66" s="33"/>
    </row>
    <row r="67">
      <c r="D67" s="33"/>
    </row>
    <row r="68">
      <c r="D68" s="33"/>
    </row>
    <row r="69">
      <c r="D69" s="33"/>
    </row>
    <row r="70">
      <c r="D70" s="33"/>
    </row>
    <row r="71">
      <c r="D71" s="33"/>
    </row>
    <row r="72">
      <c r="D72" s="33"/>
    </row>
    <row r="73">
      <c r="D73" s="33"/>
    </row>
    <row r="74">
      <c r="D74" s="33"/>
    </row>
    <row r="75">
      <c r="D75" s="33"/>
    </row>
    <row r="76">
      <c r="D76" s="33"/>
    </row>
    <row r="77">
      <c r="D77" s="33"/>
    </row>
    <row r="78">
      <c r="D78" s="33"/>
    </row>
    <row r="79">
      <c r="D79" s="33"/>
    </row>
    <row r="80">
      <c r="D80" s="33"/>
    </row>
    <row r="81">
      <c r="D81" s="33"/>
    </row>
    <row r="82">
      <c r="D82" s="33"/>
    </row>
    <row r="83">
      <c r="D83" s="33"/>
    </row>
    <row r="84">
      <c r="D84" s="33"/>
    </row>
    <row r="85">
      <c r="D85" s="33"/>
    </row>
    <row r="86">
      <c r="D86" s="33"/>
    </row>
    <row r="87">
      <c r="D87" s="33"/>
    </row>
    <row r="88">
      <c r="D88" s="33"/>
    </row>
    <row r="89">
      <c r="D89" s="33"/>
    </row>
    <row r="90">
      <c r="D90" s="33"/>
    </row>
    <row r="91">
      <c r="D91" s="33"/>
    </row>
    <row r="92">
      <c r="D92" s="33"/>
    </row>
    <row r="93">
      <c r="D93" s="33"/>
    </row>
    <row r="94">
      <c r="D94" s="33"/>
    </row>
    <row r="95">
      <c r="D95" s="33"/>
    </row>
    <row r="96">
      <c r="D96" s="33"/>
    </row>
    <row r="97">
      <c r="D97" s="33"/>
    </row>
    <row r="98">
      <c r="D98" s="33"/>
    </row>
    <row r="99">
      <c r="D99" s="33"/>
    </row>
    <row r="100">
      <c r="D100" s="33"/>
    </row>
    <row r="101">
      <c r="D101" s="33"/>
    </row>
    <row r="102">
      <c r="D102" s="33"/>
    </row>
    <row r="103">
      <c r="D103" s="33"/>
    </row>
    <row r="104">
      <c r="D104" s="33"/>
    </row>
    <row r="105">
      <c r="D105" s="33"/>
    </row>
    <row r="106">
      <c r="D106" s="33"/>
    </row>
    <row r="107">
      <c r="D107" s="33"/>
    </row>
    <row r="108">
      <c r="D108" s="33"/>
    </row>
    <row r="109">
      <c r="D109" s="33"/>
    </row>
    <row r="110">
      <c r="D110" s="33"/>
    </row>
    <row r="111">
      <c r="D111" s="33"/>
    </row>
    <row r="112">
      <c r="D112" s="33"/>
    </row>
    <row r="113">
      <c r="D113" s="33"/>
    </row>
    <row r="114">
      <c r="D114" s="33"/>
    </row>
    <row r="115">
      <c r="D115" s="33"/>
    </row>
    <row r="116">
      <c r="D116" s="33"/>
    </row>
    <row r="117">
      <c r="D117" s="33"/>
    </row>
    <row r="118">
      <c r="D118" s="33"/>
    </row>
    <row r="119">
      <c r="D119" s="33"/>
    </row>
    <row r="120">
      <c r="D120" s="33"/>
    </row>
    <row r="121">
      <c r="D121" s="33"/>
    </row>
    <row r="122">
      <c r="D122" s="33"/>
    </row>
    <row r="123">
      <c r="D123" s="33"/>
    </row>
    <row r="124">
      <c r="D124" s="33"/>
    </row>
    <row r="125">
      <c r="D125" s="33"/>
    </row>
    <row r="126">
      <c r="D126" s="33"/>
    </row>
    <row r="127">
      <c r="D127" s="33"/>
    </row>
    <row r="128">
      <c r="D128" s="33"/>
    </row>
    <row r="129">
      <c r="D129" s="33"/>
    </row>
    <row r="130">
      <c r="D130" s="33"/>
    </row>
    <row r="131">
      <c r="D131" s="33"/>
    </row>
    <row r="132">
      <c r="D132" s="33"/>
    </row>
    <row r="133">
      <c r="D133" s="33"/>
    </row>
    <row r="134">
      <c r="D134" s="33"/>
    </row>
    <row r="135">
      <c r="D135" s="33"/>
    </row>
    <row r="136">
      <c r="D136" s="33"/>
    </row>
    <row r="137">
      <c r="D137" s="33"/>
    </row>
    <row r="138">
      <c r="D138" s="33"/>
    </row>
    <row r="139">
      <c r="D139" s="33"/>
    </row>
    <row r="140">
      <c r="D140" s="33"/>
    </row>
    <row r="141">
      <c r="D141" s="33"/>
    </row>
    <row r="142">
      <c r="D142" s="33"/>
    </row>
    <row r="143">
      <c r="D143" s="33"/>
    </row>
    <row r="144">
      <c r="D144" s="33"/>
    </row>
    <row r="145">
      <c r="D145" s="33"/>
    </row>
    <row r="146">
      <c r="D146" s="33"/>
    </row>
    <row r="147">
      <c r="D147" s="33"/>
    </row>
    <row r="148">
      <c r="D148" s="33"/>
    </row>
    <row r="149">
      <c r="D149" s="33"/>
    </row>
    <row r="150">
      <c r="D150" s="33"/>
    </row>
    <row r="151">
      <c r="D151" s="33"/>
    </row>
    <row r="152">
      <c r="D152" s="33"/>
    </row>
    <row r="153">
      <c r="D153" s="33"/>
    </row>
    <row r="154">
      <c r="D154" s="33"/>
    </row>
    <row r="155">
      <c r="D155" s="33"/>
    </row>
    <row r="156">
      <c r="D156" s="33"/>
    </row>
    <row r="157">
      <c r="D157" s="33"/>
    </row>
    <row r="158">
      <c r="D158" s="33"/>
    </row>
    <row r="159">
      <c r="D159" s="33"/>
    </row>
    <row r="160">
      <c r="D160" s="33"/>
    </row>
    <row r="161">
      <c r="D161" s="33"/>
    </row>
    <row r="162">
      <c r="D162" s="33"/>
    </row>
    <row r="163">
      <c r="D163" s="33"/>
    </row>
    <row r="164">
      <c r="D164" s="33"/>
    </row>
    <row r="165">
      <c r="D165" s="33"/>
    </row>
    <row r="166">
      <c r="D166" s="33"/>
    </row>
    <row r="167">
      <c r="D167" s="33"/>
    </row>
    <row r="168">
      <c r="D168" s="33"/>
    </row>
    <row r="169">
      <c r="D169" s="33"/>
    </row>
    <row r="170">
      <c r="D170" s="33"/>
    </row>
    <row r="171">
      <c r="D171" s="33"/>
    </row>
    <row r="172">
      <c r="D172" s="33"/>
    </row>
    <row r="173">
      <c r="D173" s="33"/>
    </row>
    <row r="174">
      <c r="D174" s="33"/>
    </row>
    <row r="175">
      <c r="D175" s="33"/>
    </row>
    <row r="176">
      <c r="D176" s="33"/>
    </row>
    <row r="177">
      <c r="D177" s="33"/>
    </row>
    <row r="178">
      <c r="D178" s="33"/>
    </row>
    <row r="179">
      <c r="D179" s="33"/>
    </row>
    <row r="180">
      <c r="D180" s="33"/>
    </row>
    <row r="181">
      <c r="D181" s="33"/>
    </row>
    <row r="182">
      <c r="D182" s="33"/>
    </row>
    <row r="183">
      <c r="D183" s="33"/>
    </row>
    <row r="184">
      <c r="D184" s="33"/>
    </row>
    <row r="185">
      <c r="D185" s="33"/>
    </row>
    <row r="186">
      <c r="D186" s="33"/>
    </row>
    <row r="187">
      <c r="D187" s="33"/>
    </row>
    <row r="188">
      <c r="D188" s="33"/>
    </row>
    <row r="189">
      <c r="D189" s="33"/>
    </row>
    <row r="190">
      <c r="D190" s="33"/>
    </row>
    <row r="191">
      <c r="D191" s="33"/>
    </row>
    <row r="192">
      <c r="D192" s="33"/>
    </row>
    <row r="193">
      <c r="D193" s="33"/>
    </row>
    <row r="194">
      <c r="D194" s="33"/>
    </row>
    <row r="195">
      <c r="D195" s="33"/>
    </row>
    <row r="196">
      <c r="D196" s="33"/>
    </row>
    <row r="197">
      <c r="D197" s="33"/>
    </row>
    <row r="198">
      <c r="D198" s="33"/>
    </row>
    <row r="199">
      <c r="D199" s="33"/>
    </row>
    <row r="200">
      <c r="D200" s="33"/>
    </row>
    <row r="201">
      <c r="D201" s="33"/>
    </row>
    <row r="202">
      <c r="D202" s="33"/>
    </row>
    <row r="203">
      <c r="D203" s="33"/>
    </row>
    <row r="204">
      <c r="D204" s="33"/>
    </row>
    <row r="205">
      <c r="D205" s="33"/>
    </row>
    <row r="206">
      <c r="D206" s="33"/>
    </row>
    <row r="207">
      <c r="D207" s="33"/>
    </row>
    <row r="208">
      <c r="D208" s="33"/>
    </row>
    <row r="209">
      <c r="D209" s="33"/>
    </row>
    <row r="210">
      <c r="D210" s="33"/>
    </row>
    <row r="211">
      <c r="D211" s="33"/>
    </row>
    <row r="212">
      <c r="D212" s="33"/>
    </row>
    <row r="213">
      <c r="D213" s="33"/>
    </row>
    <row r="214">
      <c r="D214" s="33"/>
    </row>
    <row r="215">
      <c r="D215" s="33"/>
    </row>
    <row r="216">
      <c r="D216" s="33"/>
    </row>
    <row r="217">
      <c r="D217" s="33"/>
    </row>
    <row r="218">
      <c r="D218" s="33"/>
    </row>
    <row r="219">
      <c r="D219" s="33"/>
    </row>
    <row r="220">
      <c r="D220" s="33"/>
    </row>
    <row r="221">
      <c r="D221" s="33"/>
    </row>
    <row r="222">
      <c r="D222" s="33"/>
    </row>
    <row r="223">
      <c r="D223" s="33"/>
    </row>
    <row r="224">
      <c r="D224" s="33"/>
    </row>
    <row r="225">
      <c r="D225" s="33"/>
    </row>
    <row r="226">
      <c r="D226" s="33"/>
    </row>
    <row r="227">
      <c r="D227" s="33"/>
    </row>
    <row r="228">
      <c r="D228" s="33"/>
    </row>
    <row r="229">
      <c r="D229" s="33"/>
    </row>
    <row r="230">
      <c r="D230" s="33"/>
    </row>
    <row r="231">
      <c r="D231" s="33"/>
    </row>
    <row r="232">
      <c r="D232" s="33"/>
    </row>
    <row r="233">
      <c r="D233" s="33"/>
    </row>
    <row r="234">
      <c r="D234" s="33"/>
    </row>
    <row r="235">
      <c r="D235" s="33"/>
    </row>
    <row r="236">
      <c r="D236" s="33"/>
    </row>
    <row r="237">
      <c r="D237" s="33"/>
    </row>
    <row r="238">
      <c r="D238" s="33"/>
    </row>
    <row r="239">
      <c r="D239" s="33"/>
    </row>
    <row r="240">
      <c r="D240" s="33"/>
    </row>
    <row r="241">
      <c r="D241" s="33"/>
    </row>
    <row r="242">
      <c r="D242" s="33"/>
    </row>
    <row r="243">
      <c r="D243" s="33"/>
    </row>
    <row r="244">
      <c r="D244" s="33"/>
    </row>
    <row r="245">
      <c r="D245" s="33"/>
    </row>
    <row r="246">
      <c r="D246" s="33"/>
    </row>
    <row r="247">
      <c r="D247" s="33"/>
    </row>
    <row r="248">
      <c r="D248" s="33"/>
    </row>
    <row r="249">
      <c r="D249" s="33"/>
    </row>
    <row r="250">
      <c r="D250" s="33"/>
    </row>
    <row r="251">
      <c r="D251" s="33"/>
    </row>
    <row r="252">
      <c r="D252" s="33"/>
    </row>
    <row r="253">
      <c r="D253" s="33"/>
    </row>
    <row r="254">
      <c r="D254" s="33"/>
    </row>
    <row r="255">
      <c r="D255" s="33"/>
    </row>
    <row r="256">
      <c r="D256" s="33"/>
    </row>
    <row r="257">
      <c r="D257" s="33"/>
    </row>
    <row r="258">
      <c r="D258" s="33"/>
    </row>
    <row r="259">
      <c r="D259" s="33"/>
    </row>
    <row r="260">
      <c r="D260" s="33"/>
    </row>
    <row r="261">
      <c r="D261" s="33"/>
    </row>
    <row r="262">
      <c r="D262" s="33"/>
    </row>
    <row r="263">
      <c r="D263" s="33"/>
    </row>
    <row r="264">
      <c r="D264" s="33"/>
    </row>
    <row r="265">
      <c r="D265" s="33"/>
    </row>
    <row r="266">
      <c r="D266" s="33"/>
    </row>
    <row r="267">
      <c r="D267" s="33"/>
    </row>
    <row r="268">
      <c r="D268" s="33"/>
    </row>
    <row r="269">
      <c r="D269" s="33"/>
    </row>
    <row r="270">
      <c r="D270" s="33"/>
    </row>
    <row r="271">
      <c r="D271" s="33"/>
    </row>
    <row r="272">
      <c r="D272" s="33"/>
    </row>
    <row r="273">
      <c r="D273" s="33"/>
    </row>
    <row r="274">
      <c r="D274" s="33"/>
    </row>
    <row r="275">
      <c r="D275" s="33"/>
    </row>
    <row r="276">
      <c r="D276" s="33"/>
    </row>
    <row r="277">
      <c r="D277" s="33"/>
    </row>
    <row r="278">
      <c r="D278" s="33"/>
    </row>
    <row r="279">
      <c r="D279" s="33"/>
    </row>
    <row r="280">
      <c r="D280" s="33"/>
    </row>
    <row r="281">
      <c r="D281" s="33"/>
    </row>
    <row r="282">
      <c r="D282" s="33"/>
    </row>
    <row r="283">
      <c r="D283" s="33"/>
    </row>
    <row r="284">
      <c r="D284" s="33"/>
    </row>
    <row r="285">
      <c r="D285" s="33"/>
    </row>
    <row r="286">
      <c r="D286" s="33"/>
    </row>
    <row r="287">
      <c r="D287" s="33"/>
    </row>
    <row r="288">
      <c r="D288" s="33"/>
    </row>
    <row r="289">
      <c r="D289" s="33"/>
    </row>
    <row r="290">
      <c r="D290" s="33"/>
    </row>
    <row r="291">
      <c r="D291" s="33"/>
    </row>
    <row r="292">
      <c r="D292" s="33"/>
    </row>
    <row r="293">
      <c r="D293" s="33"/>
    </row>
    <row r="294">
      <c r="D294" s="33"/>
    </row>
    <row r="295">
      <c r="D295" s="33"/>
    </row>
    <row r="296">
      <c r="D296" s="33"/>
    </row>
    <row r="297">
      <c r="D297" s="33"/>
    </row>
    <row r="298">
      <c r="D298" s="33"/>
    </row>
    <row r="299">
      <c r="D299" s="33"/>
    </row>
    <row r="300">
      <c r="D300" s="33"/>
    </row>
    <row r="301">
      <c r="D301" s="33"/>
    </row>
    <row r="302">
      <c r="D302" s="33"/>
    </row>
    <row r="303">
      <c r="D303" s="33"/>
    </row>
    <row r="304">
      <c r="D304" s="33"/>
    </row>
    <row r="305">
      <c r="D305" s="33"/>
    </row>
    <row r="306">
      <c r="D306" s="33"/>
    </row>
    <row r="307">
      <c r="D307" s="33"/>
    </row>
    <row r="308">
      <c r="D308" s="33"/>
    </row>
    <row r="309">
      <c r="D309" s="33"/>
    </row>
    <row r="310">
      <c r="D310" s="33"/>
    </row>
    <row r="311">
      <c r="D311" s="33"/>
    </row>
    <row r="312">
      <c r="D312" s="33"/>
    </row>
    <row r="313">
      <c r="D313" s="33"/>
    </row>
    <row r="314">
      <c r="D314" s="33"/>
    </row>
    <row r="315">
      <c r="D315" s="33"/>
    </row>
    <row r="316">
      <c r="D316" s="33"/>
    </row>
    <row r="317">
      <c r="D317" s="33"/>
    </row>
    <row r="318">
      <c r="D318" s="33"/>
    </row>
    <row r="319">
      <c r="D319" s="33"/>
    </row>
    <row r="320">
      <c r="D320" s="33"/>
    </row>
    <row r="321">
      <c r="D321" s="33"/>
    </row>
    <row r="322">
      <c r="D322" s="33"/>
    </row>
    <row r="323">
      <c r="D323" s="33"/>
    </row>
    <row r="324">
      <c r="D324" s="33"/>
    </row>
    <row r="325">
      <c r="D325" s="33"/>
    </row>
    <row r="326">
      <c r="D326" s="33"/>
    </row>
    <row r="327">
      <c r="D327" s="33"/>
    </row>
    <row r="328">
      <c r="D328" s="33"/>
    </row>
    <row r="329">
      <c r="D329" s="33"/>
    </row>
    <row r="330">
      <c r="D330" s="33"/>
    </row>
    <row r="331">
      <c r="D331" s="33"/>
    </row>
    <row r="332">
      <c r="D332" s="33"/>
    </row>
    <row r="333">
      <c r="D333" s="33"/>
    </row>
    <row r="334">
      <c r="D334" s="33"/>
    </row>
    <row r="335">
      <c r="D335" s="33"/>
    </row>
    <row r="336">
      <c r="D336" s="33"/>
    </row>
    <row r="337">
      <c r="D337" s="33"/>
    </row>
    <row r="338">
      <c r="D338" s="33"/>
    </row>
    <row r="339">
      <c r="D339" s="33"/>
    </row>
    <row r="340">
      <c r="D340" s="33"/>
    </row>
    <row r="341">
      <c r="D341" s="33"/>
    </row>
    <row r="342">
      <c r="D342" s="33"/>
    </row>
    <row r="343">
      <c r="D343" s="33"/>
    </row>
    <row r="344">
      <c r="D344" s="33"/>
    </row>
    <row r="345">
      <c r="D345" s="33"/>
    </row>
    <row r="346">
      <c r="D346" s="33"/>
    </row>
    <row r="347">
      <c r="D347" s="33"/>
    </row>
    <row r="348">
      <c r="D348" s="33"/>
    </row>
    <row r="349">
      <c r="D349" s="33"/>
    </row>
    <row r="350">
      <c r="D350" s="33"/>
    </row>
    <row r="351">
      <c r="D351" s="33"/>
    </row>
    <row r="352">
      <c r="D352" s="33"/>
    </row>
    <row r="353">
      <c r="D353" s="33"/>
    </row>
    <row r="354">
      <c r="D354" s="33"/>
    </row>
    <row r="355">
      <c r="D355" s="33"/>
    </row>
    <row r="356">
      <c r="D356" s="33"/>
    </row>
    <row r="357">
      <c r="D357" s="33"/>
    </row>
    <row r="358">
      <c r="D358" s="33"/>
    </row>
    <row r="359">
      <c r="D359" s="33"/>
    </row>
    <row r="360">
      <c r="D360" s="33"/>
    </row>
    <row r="361">
      <c r="D361" s="33"/>
    </row>
    <row r="362">
      <c r="D362" s="33"/>
    </row>
    <row r="363">
      <c r="D363" s="33"/>
    </row>
    <row r="364">
      <c r="D364" s="33"/>
    </row>
    <row r="365">
      <c r="D365" s="33"/>
    </row>
    <row r="366">
      <c r="D366" s="33"/>
    </row>
    <row r="367">
      <c r="D367" s="33"/>
    </row>
    <row r="368">
      <c r="D368" s="33"/>
    </row>
    <row r="369">
      <c r="D369" s="33"/>
    </row>
    <row r="370">
      <c r="D370" s="33"/>
    </row>
    <row r="371">
      <c r="D371" s="33"/>
    </row>
    <row r="372">
      <c r="D372" s="33"/>
    </row>
    <row r="373">
      <c r="D373" s="33"/>
    </row>
    <row r="374">
      <c r="D374" s="33"/>
    </row>
    <row r="375">
      <c r="D375" s="33"/>
    </row>
    <row r="376">
      <c r="D376" s="33"/>
    </row>
    <row r="377">
      <c r="D377" s="33"/>
    </row>
    <row r="378">
      <c r="D378" s="33"/>
    </row>
    <row r="379">
      <c r="D379" s="33"/>
    </row>
    <row r="380">
      <c r="D380" s="33"/>
    </row>
    <row r="381">
      <c r="D381" s="33"/>
    </row>
    <row r="382">
      <c r="D382" s="33"/>
    </row>
    <row r="383">
      <c r="D383" s="33"/>
    </row>
    <row r="384">
      <c r="D384" s="33"/>
    </row>
    <row r="385">
      <c r="D385" s="33"/>
    </row>
    <row r="386">
      <c r="D386" s="33"/>
    </row>
    <row r="387">
      <c r="D387" s="33"/>
    </row>
    <row r="388">
      <c r="D388" s="33"/>
    </row>
    <row r="389">
      <c r="D389" s="33"/>
    </row>
    <row r="390">
      <c r="D390" s="33"/>
    </row>
    <row r="391">
      <c r="D391" s="33"/>
    </row>
    <row r="392">
      <c r="D392" s="33"/>
    </row>
    <row r="393">
      <c r="D393" s="33"/>
    </row>
    <row r="394">
      <c r="D394" s="33"/>
    </row>
    <row r="395">
      <c r="D395" s="33"/>
    </row>
    <row r="396">
      <c r="D396" s="33"/>
    </row>
    <row r="397">
      <c r="D397" s="33"/>
    </row>
    <row r="398">
      <c r="D398" s="33"/>
    </row>
    <row r="399">
      <c r="D399" s="33"/>
    </row>
    <row r="400">
      <c r="D400" s="33"/>
    </row>
    <row r="401">
      <c r="D401" s="33"/>
    </row>
    <row r="402">
      <c r="D402" s="33"/>
    </row>
    <row r="403">
      <c r="D403" s="33"/>
    </row>
    <row r="404">
      <c r="D404" s="33"/>
    </row>
    <row r="405">
      <c r="D405" s="33"/>
    </row>
    <row r="406">
      <c r="D406" s="33"/>
    </row>
    <row r="407">
      <c r="D407" s="33"/>
    </row>
    <row r="408">
      <c r="D408" s="33"/>
    </row>
    <row r="409">
      <c r="D409" s="33"/>
    </row>
    <row r="410">
      <c r="D410" s="33"/>
    </row>
    <row r="411">
      <c r="D411" s="33"/>
    </row>
    <row r="412">
      <c r="D412" s="33"/>
    </row>
    <row r="413">
      <c r="D413" s="33"/>
    </row>
    <row r="414">
      <c r="D414" s="33"/>
    </row>
    <row r="415">
      <c r="D415" s="33"/>
    </row>
    <row r="416">
      <c r="D416" s="33"/>
    </row>
    <row r="417">
      <c r="D417" s="33"/>
    </row>
    <row r="418">
      <c r="D418" s="33"/>
    </row>
    <row r="419">
      <c r="D419" s="33"/>
    </row>
    <row r="420">
      <c r="D420" s="33"/>
    </row>
    <row r="421">
      <c r="D421" s="33"/>
    </row>
    <row r="422">
      <c r="D422" s="33"/>
    </row>
    <row r="423">
      <c r="D423" s="33"/>
    </row>
    <row r="424">
      <c r="D424" s="33"/>
    </row>
    <row r="425">
      <c r="D425" s="33"/>
    </row>
    <row r="426">
      <c r="D426" s="33"/>
    </row>
    <row r="427">
      <c r="D427" s="33"/>
    </row>
    <row r="428">
      <c r="D428" s="33"/>
    </row>
    <row r="429">
      <c r="D429" s="33"/>
    </row>
    <row r="430">
      <c r="D430" s="33"/>
    </row>
    <row r="431">
      <c r="D431" s="33"/>
    </row>
    <row r="432">
      <c r="D432" s="33"/>
    </row>
    <row r="433">
      <c r="D433" s="33"/>
    </row>
    <row r="434">
      <c r="D434" s="33"/>
    </row>
    <row r="435">
      <c r="D435" s="33"/>
    </row>
    <row r="436">
      <c r="D436" s="33"/>
    </row>
    <row r="437">
      <c r="D437" s="33"/>
    </row>
    <row r="438">
      <c r="D438" s="33"/>
    </row>
    <row r="439">
      <c r="D439" s="33"/>
    </row>
    <row r="440">
      <c r="D440" s="33"/>
    </row>
    <row r="441">
      <c r="D441" s="33"/>
    </row>
    <row r="442">
      <c r="D442" s="33"/>
    </row>
    <row r="443">
      <c r="D443" s="33"/>
    </row>
    <row r="444">
      <c r="D444" s="33"/>
    </row>
    <row r="445">
      <c r="D445" s="33"/>
    </row>
    <row r="446">
      <c r="D446" s="33"/>
    </row>
    <row r="447">
      <c r="D447" s="33"/>
    </row>
    <row r="448">
      <c r="D448" s="33"/>
    </row>
    <row r="449">
      <c r="D449" s="33"/>
    </row>
    <row r="450">
      <c r="D450" s="33"/>
    </row>
    <row r="451">
      <c r="D451" s="33"/>
    </row>
    <row r="452">
      <c r="D452" s="33"/>
    </row>
    <row r="453">
      <c r="D453" s="33"/>
    </row>
    <row r="454">
      <c r="D454" s="33"/>
    </row>
    <row r="455">
      <c r="D455" s="33"/>
    </row>
    <row r="456">
      <c r="D456" s="33"/>
    </row>
    <row r="457">
      <c r="D457" s="33"/>
    </row>
    <row r="458">
      <c r="D458" s="33"/>
    </row>
    <row r="459">
      <c r="D459" s="33"/>
    </row>
    <row r="460">
      <c r="D460" s="33"/>
    </row>
    <row r="461">
      <c r="D461" s="33"/>
    </row>
    <row r="462">
      <c r="D462" s="33"/>
    </row>
    <row r="463">
      <c r="D463" s="33"/>
    </row>
    <row r="464">
      <c r="D464" s="33"/>
    </row>
    <row r="465">
      <c r="D465" s="33"/>
    </row>
    <row r="466">
      <c r="D466" s="33"/>
    </row>
    <row r="467">
      <c r="D467" s="33"/>
    </row>
    <row r="468">
      <c r="D468" s="33"/>
    </row>
    <row r="469">
      <c r="D469" s="33"/>
    </row>
    <row r="470">
      <c r="D470" s="33"/>
    </row>
    <row r="471">
      <c r="D471" s="33"/>
    </row>
    <row r="472">
      <c r="D472" s="33"/>
    </row>
    <row r="473">
      <c r="D473" s="33"/>
    </row>
    <row r="474">
      <c r="D474" s="33"/>
    </row>
    <row r="475">
      <c r="D475" s="33"/>
    </row>
    <row r="476">
      <c r="D476" s="33"/>
    </row>
    <row r="477">
      <c r="D477" s="33"/>
    </row>
    <row r="478">
      <c r="D478" s="33"/>
    </row>
    <row r="479">
      <c r="D479" s="33"/>
    </row>
    <row r="480">
      <c r="D480" s="33"/>
    </row>
    <row r="481">
      <c r="D481" s="33"/>
    </row>
    <row r="482">
      <c r="D482" s="33"/>
    </row>
    <row r="483">
      <c r="D483" s="33"/>
    </row>
    <row r="484">
      <c r="D484" s="33"/>
    </row>
    <row r="485">
      <c r="D485" s="33"/>
    </row>
    <row r="486">
      <c r="D486" s="33"/>
    </row>
    <row r="487">
      <c r="D487" s="33"/>
    </row>
    <row r="488">
      <c r="D488" s="33"/>
    </row>
    <row r="489">
      <c r="D489" s="33"/>
    </row>
    <row r="490">
      <c r="D490" s="33"/>
    </row>
    <row r="491">
      <c r="D491" s="33"/>
    </row>
    <row r="492">
      <c r="D492" s="33"/>
    </row>
    <row r="493">
      <c r="D493" s="33"/>
    </row>
    <row r="494">
      <c r="D494" s="33"/>
    </row>
    <row r="495">
      <c r="D495" s="33"/>
    </row>
    <row r="496">
      <c r="D496" s="33"/>
    </row>
    <row r="497">
      <c r="D497" s="33"/>
    </row>
    <row r="498">
      <c r="D498" s="33"/>
    </row>
    <row r="499">
      <c r="D499" s="33"/>
    </row>
    <row r="500">
      <c r="D500" s="33"/>
    </row>
    <row r="501">
      <c r="D501" s="33"/>
    </row>
    <row r="502">
      <c r="D502" s="33"/>
    </row>
    <row r="503">
      <c r="D503" s="33"/>
    </row>
    <row r="504">
      <c r="D504" s="33"/>
    </row>
    <row r="505">
      <c r="D505" s="33"/>
    </row>
    <row r="506">
      <c r="D506" s="33"/>
    </row>
    <row r="507">
      <c r="D507" s="33"/>
    </row>
    <row r="508">
      <c r="D508" s="33"/>
    </row>
    <row r="509">
      <c r="D509" s="33"/>
    </row>
    <row r="510">
      <c r="D510" s="33"/>
    </row>
    <row r="511">
      <c r="D511" s="33"/>
    </row>
    <row r="512">
      <c r="D512" s="33"/>
    </row>
    <row r="513">
      <c r="D513" s="33"/>
    </row>
    <row r="514">
      <c r="D514" s="33"/>
    </row>
    <row r="515">
      <c r="D515" s="33"/>
    </row>
    <row r="516">
      <c r="D516" s="33"/>
    </row>
    <row r="517">
      <c r="D517" s="33"/>
    </row>
    <row r="518">
      <c r="D518" s="33"/>
    </row>
    <row r="519">
      <c r="D519" s="33"/>
    </row>
    <row r="520">
      <c r="D520" s="33"/>
    </row>
    <row r="521">
      <c r="D521" s="33"/>
    </row>
    <row r="522">
      <c r="D522" s="33"/>
    </row>
    <row r="523">
      <c r="D523" s="33"/>
    </row>
    <row r="524">
      <c r="D524" s="33"/>
    </row>
    <row r="525">
      <c r="D525" s="33"/>
    </row>
    <row r="526">
      <c r="D526" s="33"/>
    </row>
    <row r="527">
      <c r="D527" s="33"/>
    </row>
    <row r="528">
      <c r="D528" s="33"/>
    </row>
    <row r="529">
      <c r="D529" s="33"/>
    </row>
    <row r="530">
      <c r="D530" s="33"/>
    </row>
    <row r="531">
      <c r="D531" s="33"/>
    </row>
    <row r="532">
      <c r="D532" s="33"/>
    </row>
    <row r="533">
      <c r="D533" s="33"/>
    </row>
    <row r="534">
      <c r="D534" s="33"/>
    </row>
    <row r="535">
      <c r="D535" s="33"/>
    </row>
    <row r="536">
      <c r="D536" s="33"/>
    </row>
    <row r="537">
      <c r="D537" s="33"/>
    </row>
    <row r="538">
      <c r="D538" s="33"/>
    </row>
    <row r="539">
      <c r="D539" s="33"/>
    </row>
    <row r="540">
      <c r="D540" s="33"/>
    </row>
    <row r="541">
      <c r="D541" s="33"/>
    </row>
    <row r="542">
      <c r="D542" s="33"/>
    </row>
    <row r="543">
      <c r="D543" s="33"/>
    </row>
    <row r="544">
      <c r="D544" s="33"/>
    </row>
    <row r="545">
      <c r="D545" s="33"/>
    </row>
    <row r="546">
      <c r="D546" s="33"/>
    </row>
    <row r="547">
      <c r="D547" s="33"/>
    </row>
    <row r="548">
      <c r="D548" s="33"/>
    </row>
    <row r="549">
      <c r="D549" s="33"/>
    </row>
    <row r="550">
      <c r="D550" s="33"/>
    </row>
    <row r="551">
      <c r="D551" s="33"/>
    </row>
    <row r="552">
      <c r="D552" s="33"/>
    </row>
    <row r="553">
      <c r="D553" s="33"/>
    </row>
    <row r="554">
      <c r="D554" s="33"/>
    </row>
    <row r="555">
      <c r="D555" s="33"/>
    </row>
    <row r="556">
      <c r="D556" s="33"/>
    </row>
    <row r="557">
      <c r="D557" s="33"/>
    </row>
    <row r="558">
      <c r="D558" s="33"/>
    </row>
    <row r="559">
      <c r="D559" s="33"/>
    </row>
    <row r="560">
      <c r="D560" s="33"/>
    </row>
    <row r="561">
      <c r="D561" s="33"/>
    </row>
    <row r="562">
      <c r="D562" s="33"/>
    </row>
    <row r="563">
      <c r="D563" s="33"/>
    </row>
    <row r="564">
      <c r="D564" s="33"/>
    </row>
    <row r="565">
      <c r="D565" s="33"/>
    </row>
    <row r="566">
      <c r="D566" s="33"/>
    </row>
    <row r="567">
      <c r="D567" s="33"/>
    </row>
    <row r="568">
      <c r="D568" s="33"/>
    </row>
    <row r="569">
      <c r="D569" s="33"/>
    </row>
    <row r="570">
      <c r="D570" s="33"/>
    </row>
    <row r="571">
      <c r="D571" s="33"/>
    </row>
    <row r="572">
      <c r="D572" s="33"/>
    </row>
    <row r="573">
      <c r="D573" s="33"/>
    </row>
    <row r="574">
      <c r="D574" s="33"/>
    </row>
    <row r="575">
      <c r="D575" s="33"/>
    </row>
    <row r="576">
      <c r="D576" s="33"/>
    </row>
    <row r="577">
      <c r="D577" s="33"/>
    </row>
    <row r="578">
      <c r="D578" s="33"/>
    </row>
    <row r="579">
      <c r="D579" s="33"/>
    </row>
    <row r="580">
      <c r="D580" s="33"/>
    </row>
    <row r="581">
      <c r="D581" s="33"/>
    </row>
    <row r="582">
      <c r="D582" s="33"/>
    </row>
    <row r="583">
      <c r="D583" s="33"/>
    </row>
    <row r="584">
      <c r="D584" s="33"/>
    </row>
    <row r="585">
      <c r="D585" s="33"/>
    </row>
    <row r="586">
      <c r="D586" s="33"/>
    </row>
    <row r="587">
      <c r="D587" s="33"/>
    </row>
    <row r="588">
      <c r="D588" s="33"/>
    </row>
    <row r="589">
      <c r="D589" s="33"/>
    </row>
    <row r="590">
      <c r="D590" s="33"/>
    </row>
    <row r="591">
      <c r="D591" s="33"/>
    </row>
    <row r="592">
      <c r="D592" s="33"/>
    </row>
    <row r="593">
      <c r="D593" s="33"/>
    </row>
    <row r="594">
      <c r="D594" s="33"/>
    </row>
    <row r="595">
      <c r="D595" s="33"/>
    </row>
    <row r="596">
      <c r="D596" s="33"/>
    </row>
    <row r="597">
      <c r="D597" s="33"/>
    </row>
    <row r="598">
      <c r="D598" s="33"/>
    </row>
    <row r="599">
      <c r="D599" s="33"/>
    </row>
    <row r="600">
      <c r="D600" s="33"/>
    </row>
    <row r="601">
      <c r="D601" s="33"/>
    </row>
    <row r="602">
      <c r="D602" s="33"/>
    </row>
    <row r="603">
      <c r="D603" s="33"/>
    </row>
    <row r="604">
      <c r="D604" s="33"/>
    </row>
    <row r="605">
      <c r="D605" s="33"/>
    </row>
    <row r="606">
      <c r="D606" s="33"/>
    </row>
    <row r="607">
      <c r="D607" s="33"/>
    </row>
    <row r="608">
      <c r="D608" s="33"/>
    </row>
    <row r="609">
      <c r="D609" s="33"/>
    </row>
    <row r="610">
      <c r="D610" s="33"/>
    </row>
    <row r="611">
      <c r="D611" s="33"/>
    </row>
    <row r="612">
      <c r="D612" s="33"/>
    </row>
    <row r="613">
      <c r="D613" s="33"/>
    </row>
    <row r="614">
      <c r="D614" s="33"/>
    </row>
    <row r="615">
      <c r="D615" s="33"/>
    </row>
    <row r="616">
      <c r="D616" s="33"/>
    </row>
    <row r="617">
      <c r="D617" s="33"/>
    </row>
    <row r="618">
      <c r="D618" s="33"/>
    </row>
    <row r="619">
      <c r="D619" s="33"/>
    </row>
    <row r="620">
      <c r="D620" s="33"/>
    </row>
    <row r="621">
      <c r="D621" s="33"/>
    </row>
    <row r="622">
      <c r="D622" s="33"/>
    </row>
    <row r="623">
      <c r="D623" s="33"/>
    </row>
    <row r="624">
      <c r="D624" s="33"/>
    </row>
    <row r="625">
      <c r="D625" s="33"/>
    </row>
    <row r="626">
      <c r="D626" s="33"/>
    </row>
    <row r="627">
      <c r="D627" s="33"/>
    </row>
    <row r="628">
      <c r="D628" s="33"/>
    </row>
    <row r="629">
      <c r="D629" s="33"/>
    </row>
    <row r="630">
      <c r="D630" s="33"/>
    </row>
    <row r="631">
      <c r="D631" s="33"/>
    </row>
    <row r="632">
      <c r="D632" s="33"/>
    </row>
    <row r="633">
      <c r="D633" s="33"/>
    </row>
    <row r="634">
      <c r="D634" s="33"/>
    </row>
    <row r="635">
      <c r="D635" s="33"/>
    </row>
    <row r="636">
      <c r="D636" s="33"/>
    </row>
    <row r="637">
      <c r="D637" s="33"/>
    </row>
    <row r="638">
      <c r="D638" s="33"/>
    </row>
    <row r="639">
      <c r="D639" s="33"/>
    </row>
    <row r="640">
      <c r="D640" s="33"/>
    </row>
    <row r="641">
      <c r="D641" s="33"/>
    </row>
    <row r="642">
      <c r="D642" s="33"/>
    </row>
    <row r="643">
      <c r="D643" s="33"/>
    </row>
    <row r="644">
      <c r="D644" s="33"/>
    </row>
    <row r="645">
      <c r="D645" s="33"/>
    </row>
    <row r="646">
      <c r="D646" s="33"/>
    </row>
    <row r="647">
      <c r="D647" s="33"/>
    </row>
    <row r="648">
      <c r="D648" s="33"/>
    </row>
    <row r="649">
      <c r="D649" s="33"/>
    </row>
    <row r="650">
      <c r="D650" s="33"/>
    </row>
    <row r="651">
      <c r="D651" s="33"/>
    </row>
    <row r="652">
      <c r="D652" s="33"/>
    </row>
    <row r="653">
      <c r="D653" s="33"/>
    </row>
    <row r="654">
      <c r="D654" s="33"/>
    </row>
    <row r="655">
      <c r="D655" s="33"/>
    </row>
    <row r="656">
      <c r="D656" s="33"/>
    </row>
    <row r="657">
      <c r="D657" s="33"/>
    </row>
    <row r="658">
      <c r="D658" s="33"/>
    </row>
    <row r="659">
      <c r="D659" s="33"/>
    </row>
    <row r="660">
      <c r="D660" s="33"/>
    </row>
    <row r="661">
      <c r="D661" s="33"/>
    </row>
    <row r="662">
      <c r="D662" s="33"/>
    </row>
    <row r="663">
      <c r="D663" s="33"/>
    </row>
    <row r="664">
      <c r="D664" s="33"/>
    </row>
    <row r="665">
      <c r="D665" s="33"/>
    </row>
    <row r="666">
      <c r="D666" s="33"/>
    </row>
    <row r="667">
      <c r="D667" s="33"/>
    </row>
    <row r="668">
      <c r="D668" s="33"/>
    </row>
    <row r="669">
      <c r="D669" s="33"/>
    </row>
    <row r="670">
      <c r="D670" s="33"/>
    </row>
    <row r="671">
      <c r="D671" s="33"/>
    </row>
    <row r="672">
      <c r="D672" s="33"/>
    </row>
    <row r="673">
      <c r="D673" s="33"/>
    </row>
    <row r="674">
      <c r="D674" s="33"/>
    </row>
    <row r="675">
      <c r="D675" s="33"/>
    </row>
    <row r="676">
      <c r="D676" s="33"/>
    </row>
    <row r="677">
      <c r="D677" s="33"/>
    </row>
    <row r="678">
      <c r="D678" s="33"/>
    </row>
    <row r="679">
      <c r="D679" s="33"/>
    </row>
    <row r="680">
      <c r="D680" s="33"/>
    </row>
    <row r="681">
      <c r="D681" s="33"/>
    </row>
    <row r="682">
      <c r="D682" s="33"/>
    </row>
    <row r="683">
      <c r="D683" s="33"/>
    </row>
    <row r="684">
      <c r="D684" s="33"/>
    </row>
    <row r="685">
      <c r="D685" s="33"/>
    </row>
    <row r="686">
      <c r="D686" s="33"/>
    </row>
    <row r="687">
      <c r="D687" s="33"/>
    </row>
    <row r="688">
      <c r="D688" s="33"/>
    </row>
    <row r="689">
      <c r="D689" s="33"/>
    </row>
    <row r="690">
      <c r="D690" s="33"/>
    </row>
    <row r="691">
      <c r="D691" s="33"/>
    </row>
    <row r="692">
      <c r="D692" s="33"/>
    </row>
    <row r="693">
      <c r="D693" s="33"/>
    </row>
    <row r="694">
      <c r="D694" s="33"/>
    </row>
    <row r="695">
      <c r="D695" s="33"/>
    </row>
    <row r="696">
      <c r="D696" s="33"/>
    </row>
    <row r="697">
      <c r="D697" s="33"/>
    </row>
    <row r="698">
      <c r="D698" s="33"/>
    </row>
    <row r="699">
      <c r="D699" s="33"/>
    </row>
    <row r="700">
      <c r="D700" s="33"/>
    </row>
    <row r="701">
      <c r="D701" s="33"/>
    </row>
    <row r="702">
      <c r="D702" s="33"/>
    </row>
    <row r="703">
      <c r="D703" s="33"/>
    </row>
    <row r="704">
      <c r="D704" s="33"/>
    </row>
    <row r="705">
      <c r="D705" s="33"/>
    </row>
    <row r="706">
      <c r="D706" s="33"/>
    </row>
    <row r="707">
      <c r="D707" s="33"/>
    </row>
    <row r="708">
      <c r="D708" s="33"/>
    </row>
    <row r="709">
      <c r="D709" s="33"/>
    </row>
    <row r="710">
      <c r="D710" s="33"/>
    </row>
    <row r="711">
      <c r="D711" s="33"/>
    </row>
    <row r="712">
      <c r="D712" s="33"/>
    </row>
    <row r="713">
      <c r="D713" s="33"/>
    </row>
    <row r="714">
      <c r="D714" s="33"/>
    </row>
    <row r="715">
      <c r="D715" s="33"/>
    </row>
    <row r="716">
      <c r="D716" s="33"/>
    </row>
    <row r="717">
      <c r="D717" s="33"/>
    </row>
    <row r="718">
      <c r="D718" s="33"/>
    </row>
    <row r="719">
      <c r="D719" s="33"/>
    </row>
    <row r="720">
      <c r="D720" s="33"/>
    </row>
    <row r="721">
      <c r="D721" s="33"/>
    </row>
    <row r="722">
      <c r="D722" s="33"/>
    </row>
    <row r="723">
      <c r="D723" s="33"/>
    </row>
    <row r="724">
      <c r="D724" s="33"/>
    </row>
    <row r="725">
      <c r="D725" s="33"/>
    </row>
    <row r="726">
      <c r="D726" s="33"/>
    </row>
    <row r="727">
      <c r="D727" s="33"/>
    </row>
    <row r="728">
      <c r="D728" s="33"/>
    </row>
    <row r="729">
      <c r="D729" s="33"/>
    </row>
    <row r="730">
      <c r="D730" s="33"/>
    </row>
    <row r="731">
      <c r="D731" s="33"/>
    </row>
    <row r="732">
      <c r="D732" s="33"/>
    </row>
    <row r="733">
      <c r="D733" s="33"/>
    </row>
    <row r="734">
      <c r="D734" s="33"/>
    </row>
    <row r="735">
      <c r="D735" s="33"/>
    </row>
    <row r="736">
      <c r="D736" s="33"/>
    </row>
    <row r="737">
      <c r="D737" s="33"/>
    </row>
    <row r="738">
      <c r="D738" s="33"/>
    </row>
    <row r="739">
      <c r="D739" s="33"/>
    </row>
    <row r="740">
      <c r="D740" s="33"/>
    </row>
    <row r="741">
      <c r="D741" s="33"/>
    </row>
    <row r="742">
      <c r="D742" s="33"/>
    </row>
    <row r="743">
      <c r="D743" s="33"/>
    </row>
    <row r="744">
      <c r="D744" s="33"/>
    </row>
    <row r="745">
      <c r="D745" s="33"/>
    </row>
    <row r="746">
      <c r="D746" s="33"/>
    </row>
    <row r="747">
      <c r="D747" s="33"/>
    </row>
    <row r="748">
      <c r="D748" s="33"/>
    </row>
    <row r="749">
      <c r="D749" s="33"/>
    </row>
    <row r="750">
      <c r="D750" s="33"/>
    </row>
    <row r="751">
      <c r="D751" s="33"/>
    </row>
    <row r="752">
      <c r="D752" s="33"/>
    </row>
    <row r="753">
      <c r="D753" s="33"/>
    </row>
    <row r="754">
      <c r="D754" s="33"/>
    </row>
    <row r="755">
      <c r="D755" s="33"/>
    </row>
    <row r="756">
      <c r="D756" s="33"/>
    </row>
    <row r="757">
      <c r="D757" s="33"/>
    </row>
    <row r="758">
      <c r="D758" s="33"/>
    </row>
    <row r="759">
      <c r="D759" s="33"/>
    </row>
    <row r="760">
      <c r="D760" s="33"/>
    </row>
    <row r="761">
      <c r="D761" s="33"/>
    </row>
    <row r="762">
      <c r="D762" s="33"/>
    </row>
    <row r="763">
      <c r="D763" s="33"/>
    </row>
    <row r="764">
      <c r="D764" s="33"/>
    </row>
    <row r="765">
      <c r="D765" s="33"/>
    </row>
    <row r="766">
      <c r="D766" s="33"/>
    </row>
    <row r="767">
      <c r="D767" s="33"/>
    </row>
    <row r="768">
      <c r="D768" s="33"/>
    </row>
    <row r="769">
      <c r="D769" s="33"/>
    </row>
    <row r="770">
      <c r="D770" s="33"/>
    </row>
    <row r="771">
      <c r="D771" s="33"/>
    </row>
    <row r="772">
      <c r="D772" s="33"/>
    </row>
    <row r="773">
      <c r="D773" s="33"/>
    </row>
    <row r="774">
      <c r="D774" s="33"/>
    </row>
    <row r="775">
      <c r="D775" s="33"/>
    </row>
    <row r="776">
      <c r="D776" s="33"/>
    </row>
    <row r="777">
      <c r="D777" s="33"/>
    </row>
    <row r="778">
      <c r="D778" s="33"/>
    </row>
    <row r="779">
      <c r="D779" s="33"/>
    </row>
    <row r="780">
      <c r="D780" s="33"/>
    </row>
    <row r="781">
      <c r="D781" s="33"/>
    </row>
    <row r="782">
      <c r="D782" s="33"/>
    </row>
    <row r="783">
      <c r="D783" s="33"/>
    </row>
    <row r="784">
      <c r="D784" s="33"/>
    </row>
    <row r="785">
      <c r="D785" s="33"/>
    </row>
    <row r="786">
      <c r="D786" s="33"/>
    </row>
    <row r="787">
      <c r="D787" s="33"/>
    </row>
    <row r="788">
      <c r="D788" s="33"/>
    </row>
    <row r="789">
      <c r="D789" s="33"/>
    </row>
    <row r="790">
      <c r="D790" s="33"/>
    </row>
    <row r="791">
      <c r="D791" s="33"/>
    </row>
    <row r="792">
      <c r="D792" s="33"/>
    </row>
    <row r="793">
      <c r="D793" s="33"/>
    </row>
    <row r="794">
      <c r="D794" s="33"/>
    </row>
    <row r="795">
      <c r="D795" s="33"/>
    </row>
    <row r="796">
      <c r="D796" s="33"/>
    </row>
    <row r="797">
      <c r="D797" s="33"/>
    </row>
    <row r="798">
      <c r="D798" s="33"/>
    </row>
    <row r="799">
      <c r="D799" s="33"/>
    </row>
    <row r="800">
      <c r="D800" s="33"/>
    </row>
    <row r="801">
      <c r="D801" s="33"/>
    </row>
    <row r="802">
      <c r="D802" s="33"/>
    </row>
    <row r="803">
      <c r="D803" s="33"/>
    </row>
    <row r="804">
      <c r="D804" s="33"/>
    </row>
    <row r="805">
      <c r="D805" s="33"/>
    </row>
    <row r="806">
      <c r="D806" s="33"/>
    </row>
    <row r="807">
      <c r="D807" s="33"/>
    </row>
    <row r="808">
      <c r="D808" s="33"/>
    </row>
    <row r="809">
      <c r="D809" s="33"/>
    </row>
    <row r="810">
      <c r="D810" s="33"/>
    </row>
    <row r="811">
      <c r="D811" s="33"/>
    </row>
    <row r="812">
      <c r="D812" s="33"/>
    </row>
    <row r="813">
      <c r="D813" s="33"/>
    </row>
    <row r="814">
      <c r="D814" s="33"/>
    </row>
    <row r="815">
      <c r="D815" s="33"/>
    </row>
    <row r="816">
      <c r="D816" s="33"/>
    </row>
    <row r="817">
      <c r="D817" s="33"/>
    </row>
    <row r="818">
      <c r="D818" s="33"/>
    </row>
    <row r="819">
      <c r="D819" s="33"/>
    </row>
    <row r="820">
      <c r="D820" s="33"/>
    </row>
    <row r="821">
      <c r="D821" s="33"/>
    </row>
    <row r="822">
      <c r="D822" s="33"/>
    </row>
    <row r="823">
      <c r="D823" s="33"/>
    </row>
    <row r="824">
      <c r="D824" s="33"/>
    </row>
    <row r="825">
      <c r="D825" s="33"/>
    </row>
    <row r="826">
      <c r="D826" s="33"/>
    </row>
    <row r="827">
      <c r="D827" s="33"/>
    </row>
    <row r="828">
      <c r="D828" s="33"/>
    </row>
    <row r="829">
      <c r="D829" s="33"/>
    </row>
    <row r="830">
      <c r="D830" s="33"/>
    </row>
    <row r="831">
      <c r="D831" s="33"/>
    </row>
    <row r="832">
      <c r="D832" s="33"/>
    </row>
    <row r="833">
      <c r="D833" s="33"/>
    </row>
    <row r="834">
      <c r="D834" s="33"/>
    </row>
    <row r="835">
      <c r="D835" s="33"/>
    </row>
    <row r="836">
      <c r="D836" s="33"/>
    </row>
    <row r="837">
      <c r="D837" s="33"/>
    </row>
    <row r="838">
      <c r="D838" s="33"/>
    </row>
    <row r="839">
      <c r="D839" s="33"/>
    </row>
    <row r="840">
      <c r="D840" s="33"/>
    </row>
    <row r="841">
      <c r="D841" s="33"/>
    </row>
    <row r="842">
      <c r="D842" s="33"/>
    </row>
    <row r="843">
      <c r="D843" s="33"/>
    </row>
    <row r="844">
      <c r="D844" s="33"/>
    </row>
    <row r="845">
      <c r="D845" s="33"/>
    </row>
    <row r="846">
      <c r="D846" s="33"/>
    </row>
    <row r="847">
      <c r="D847" s="33"/>
    </row>
    <row r="848">
      <c r="D848" s="33"/>
    </row>
    <row r="849">
      <c r="D849" s="33"/>
    </row>
    <row r="850">
      <c r="D850" s="33"/>
    </row>
    <row r="851">
      <c r="D851" s="33"/>
    </row>
    <row r="852">
      <c r="D852" s="33"/>
    </row>
    <row r="853">
      <c r="D853" s="33"/>
    </row>
    <row r="854">
      <c r="D854" s="33"/>
    </row>
    <row r="855">
      <c r="D855" s="33"/>
    </row>
    <row r="856">
      <c r="D856" s="33"/>
    </row>
    <row r="857">
      <c r="D857" s="33"/>
    </row>
    <row r="858">
      <c r="D858" s="33"/>
    </row>
    <row r="859">
      <c r="D859" s="33"/>
    </row>
    <row r="860">
      <c r="D860" s="33"/>
    </row>
    <row r="861">
      <c r="D861" s="33"/>
    </row>
    <row r="862">
      <c r="D862" s="33"/>
    </row>
    <row r="863">
      <c r="D863" s="33"/>
    </row>
    <row r="864">
      <c r="D864" s="33"/>
    </row>
    <row r="865">
      <c r="D865" s="33"/>
    </row>
    <row r="866">
      <c r="D866" s="33"/>
    </row>
    <row r="867">
      <c r="D867" s="33"/>
    </row>
    <row r="868">
      <c r="D868" s="33"/>
    </row>
    <row r="869">
      <c r="D869" s="33"/>
    </row>
    <row r="870">
      <c r="D870" s="33"/>
    </row>
    <row r="871">
      <c r="D871" s="33"/>
    </row>
    <row r="872">
      <c r="D872" s="33"/>
    </row>
    <row r="873">
      <c r="D873" s="33"/>
    </row>
    <row r="874">
      <c r="D874" s="33"/>
    </row>
    <row r="875">
      <c r="D875" s="33"/>
    </row>
    <row r="876">
      <c r="D876" s="33"/>
    </row>
    <row r="877">
      <c r="D877" s="33"/>
    </row>
    <row r="878">
      <c r="D878" s="33"/>
    </row>
    <row r="879">
      <c r="D879" s="33"/>
    </row>
    <row r="880">
      <c r="D880" s="33"/>
    </row>
    <row r="881">
      <c r="D881" s="33"/>
    </row>
    <row r="882">
      <c r="D882" s="33"/>
    </row>
    <row r="883">
      <c r="D883" s="33"/>
    </row>
    <row r="884">
      <c r="D884" s="33"/>
    </row>
    <row r="885">
      <c r="D885" s="33"/>
    </row>
    <row r="886">
      <c r="D886" s="33"/>
    </row>
    <row r="887">
      <c r="D887" s="33"/>
    </row>
    <row r="888">
      <c r="D888" s="33"/>
    </row>
    <row r="889">
      <c r="D889" s="33"/>
    </row>
    <row r="890">
      <c r="D890" s="33"/>
    </row>
    <row r="891">
      <c r="D891" s="33"/>
    </row>
    <row r="892">
      <c r="D892" s="33"/>
    </row>
    <row r="893">
      <c r="D893" s="33"/>
    </row>
    <row r="894">
      <c r="D894" s="33"/>
    </row>
    <row r="895">
      <c r="D895" s="33"/>
    </row>
    <row r="896">
      <c r="D896" s="33"/>
    </row>
    <row r="897">
      <c r="D897" s="33"/>
    </row>
    <row r="898">
      <c r="D898" s="33"/>
    </row>
    <row r="899">
      <c r="D899" s="33"/>
    </row>
    <row r="900">
      <c r="D900" s="33"/>
    </row>
    <row r="901">
      <c r="D901" s="33"/>
    </row>
    <row r="902">
      <c r="D902" s="33"/>
    </row>
    <row r="903">
      <c r="D903" s="33"/>
    </row>
    <row r="904">
      <c r="D904" s="33"/>
    </row>
    <row r="905">
      <c r="D905" s="33"/>
    </row>
    <row r="906">
      <c r="D906" s="33"/>
    </row>
    <row r="907">
      <c r="D907" s="33"/>
    </row>
    <row r="908">
      <c r="D908" s="33"/>
    </row>
    <row r="909">
      <c r="D909" s="33"/>
    </row>
    <row r="910">
      <c r="D910" s="33"/>
    </row>
    <row r="911">
      <c r="D911" s="33"/>
    </row>
    <row r="912">
      <c r="D912" s="33"/>
    </row>
    <row r="913">
      <c r="D913" s="33"/>
    </row>
    <row r="914">
      <c r="D914" s="33"/>
    </row>
    <row r="915">
      <c r="D915" s="33"/>
    </row>
    <row r="916">
      <c r="D916" s="33"/>
    </row>
    <row r="917">
      <c r="D917" s="33"/>
    </row>
    <row r="918">
      <c r="D918" s="33"/>
    </row>
    <row r="919">
      <c r="D919" s="33"/>
    </row>
    <row r="920">
      <c r="D920" s="33"/>
    </row>
    <row r="921">
      <c r="D921" s="33"/>
    </row>
    <row r="922">
      <c r="D922" s="33"/>
    </row>
    <row r="923">
      <c r="D923" s="33"/>
    </row>
    <row r="924">
      <c r="D924" s="33"/>
    </row>
    <row r="925">
      <c r="D925" s="33"/>
    </row>
    <row r="926">
      <c r="D926" s="33"/>
    </row>
    <row r="927">
      <c r="D927" s="33"/>
    </row>
    <row r="928">
      <c r="D928" s="33"/>
    </row>
    <row r="929">
      <c r="D929" s="33"/>
    </row>
    <row r="930">
      <c r="D930" s="33"/>
    </row>
    <row r="931">
      <c r="D931" s="33"/>
    </row>
    <row r="932">
      <c r="D932" s="33"/>
    </row>
    <row r="933">
      <c r="D933" s="33"/>
    </row>
    <row r="934">
      <c r="D934" s="33"/>
    </row>
    <row r="935">
      <c r="D935" s="33"/>
    </row>
    <row r="936">
      <c r="D936" s="33"/>
    </row>
    <row r="937">
      <c r="D937" s="33"/>
    </row>
    <row r="938">
      <c r="D938" s="33"/>
    </row>
    <row r="939">
      <c r="D939" s="33"/>
    </row>
    <row r="940">
      <c r="D940" s="33"/>
    </row>
    <row r="941">
      <c r="D941" s="33"/>
    </row>
    <row r="942">
      <c r="D942" s="33"/>
    </row>
    <row r="943">
      <c r="D943" s="33"/>
    </row>
    <row r="944">
      <c r="D944" s="33"/>
    </row>
    <row r="945">
      <c r="D945" s="33"/>
    </row>
    <row r="946">
      <c r="D946" s="33"/>
    </row>
    <row r="947">
      <c r="D947" s="33"/>
    </row>
    <row r="948">
      <c r="D948" s="33"/>
    </row>
    <row r="949">
      <c r="D949" s="33"/>
    </row>
    <row r="950">
      <c r="D950" s="33"/>
    </row>
    <row r="951">
      <c r="D951" s="33"/>
    </row>
    <row r="952">
      <c r="D952" s="33"/>
    </row>
    <row r="953">
      <c r="D953" s="33"/>
    </row>
    <row r="954">
      <c r="D954" s="33"/>
    </row>
    <row r="955">
      <c r="D955" s="33"/>
    </row>
    <row r="956">
      <c r="D956" s="33"/>
    </row>
    <row r="957">
      <c r="D957" s="33"/>
    </row>
    <row r="958">
      <c r="D958" s="33"/>
    </row>
    <row r="959">
      <c r="D959" s="33"/>
    </row>
    <row r="960">
      <c r="D960" s="33"/>
    </row>
    <row r="961">
      <c r="D961" s="33"/>
    </row>
    <row r="962">
      <c r="D962" s="33"/>
    </row>
    <row r="963">
      <c r="D963" s="33"/>
    </row>
    <row r="964">
      <c r="D964" s="33"/>
    </row>
    <row r="965">
      <c r="D965" s="33"/>
    </row>
    <row r="966">
      <c r="D966" s="33"/>
    </row>
    <row r="967">
      <c r="D967" s="33"/>
    </row>
    <row r="968">
      <c r="D968" s="33"/>
    </row>
    <row r="969">
      <c r="D969" s="33"/>
    </row>
    <row r="970">
      <c r="D970" s="33"/>
    </row>
    <row r="971">
      <c r="D971" s="33"/>
    </row>
    <row r="972">
      <c r="D972" s="33"/>
    </row>
    <row r="973">
      <c r="D973" s="33"/>
    </row>
    <row r="974">
      <c r="D974" s="33"/>
    </row>
    <row r="975">
      <c r="D975" s="33"/>
    </row>
    <row r="976">
      <c r="D976" s="33"/>
    </row>
    <row r="977">
      <c r="D977" s="33"/>
    </row>
    <row r="978">
      <c r="D978" s="33"/>
    </row>
    <row r="979">
      <c r="D979" s="33"/>
    </row>
    <row r="980">
      <c r="D980" s="33"/>
    </row>
    <row r="981">
      <c r="D981" s="33"/>
    </row>
    <row r="982">
      <c r="D982" s="33"/>
    </row>
    <row r="983">
      <c r="D983" s="33"/>
    </row>
    <row r="984">
      <c r="D984" s="33"/>
    </row>
    <row r="985">
      <c r="D985" s="33"/>
    </row>
    <row r="986">
      <c r="D986" s="33"/>
    </row>
    <row r="987">
      <c r="D987" s="33"/>
    </row>
    <row r="988">
      <c r="D988" s="33"/>
    </row>
    <row r="989">
      <c r="D989" s="33"/>
    </row>
    <row r="990">
      <c r="D990" s="33"/>
    </row>
    <row r="991">
      <c r="D991" s="33"/>
    </row>
    <row r="992">
      <c r="D992" s="33"/>
    </row>
    <row r="993">
      <c r="D993" s="33"/>
    </row>
    <row r="994">
      <c r="D994" s="33"/>
    </row>
    <row r="995">
      <c r="D995" s="33"/>
    </row>
    <row r="996">
      <c r="D996" s="33"/>
    </row>
    <row r="997">
      <c r="D997" s="33"/>
    </row>
    <row r="998">
      <c r="D998" s="33"/>
    </row>
    <row r="999">
      <c r="D999" s="33"/>
    </row>
    <row r="1000">
      <c r="D1000" s="33"/>
    </row>
  </sheetData>
  <mergeCells count="6">
    <mergeCell ref="A1:G1"/>
    <mergeCell ref="A10:G10"/>
    <mergeCell ref="A27:H27"/>
    <mergeCell ref="G3:G8"/>
    <mergeCell ref="G12:G25"/>
    <mergeCell ref="H29:H47"/>
  </mergeCells>
  <drawing r:id="rId1"/>
</worksheet>
</file>